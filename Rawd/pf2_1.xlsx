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style1.xml" ContentType="application/vnd.ms-office.chartstyle+xml"/>
  <Override PartName="/xl/customProperty1.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400" windowHeight="11355" tabRatio="888"/>
  </bookViews>
  <sheets>
    <sheet name="Table PF2.1.A" sheetId="11" r:id="rId1"/>
    <sheet name="Table PF2.1.B" sheetId="25" r:id="rId2"/>
    <sheet name="Chart PF2.1.A" sheetId="23" r:id="rId3"/>
    <sheet name="Chart PF2.1.B" sheetId="38" r:id="rId4"/>
    <sheet name="Chart PF2.1.C" sheetId="39" r:id="rId5"/>
    <sheet name="Chart PF2.1.D" sheetId="45" r:id="rId6"/>
    <sheet name="Chart PF2.1.E" sheetId="46" r:id="rId7"/>
  </sheets>
  <definedNames>
    <definedName name="_xlnm._FilterDatabase" localSheetId="2" hidden="1">'Chart PF2.1.A'!$R$8:$T$8</definedName>
    <definedName name="_xlnm._FilterDatabase" localSheetId="3" hidden="1">'Chart PF2.1.B'!$R$8:$T$8</definedName>
    <definedName name="_xlnm._FilterDatabase" localSheetId="5" hidden="1">'Chart PF2.1.D'!$N$6:$R$7</definedName>
    <definedName name="C_British_Virgin_Islands" localSheetId="5">#REF!</definedName>
    <definedName name="C_British_Virgin_Islands" localSheetId="6">#REF!</definedName>
    <definedName name="C_British_Virgin_Islands">#REF!</definedName>
    <definedName name="C_British_Virgin_Islands1" localSheetId="5">#REF!</definedName>
    <definedName name="C_British_Virgin_Islands1" localSheetId="6">#REF!</definedName>
    <definedName name="C_British_Virgin_Islands1">#REF!</definedName>
    <definedName name="cc" localSheetId="5">#REF!</definedName>
    <definedName name="cc" localSheetId="6">#REF!</definedName>
    <definedName name="cc">#REF!</definedName>
    <definedName name="Country_Mean" localSheetId="6">#REF!</definedName>
    <definedName name="Country_Mean">#REF!</definedName>
    <definedName name="cstAggregateType">"G21"</definedName>
    <definedName name="cstCountryNameColumn">2</definedName>
    <definedName name="cstDataColumn">13</definedName>
    <definedName name="cstDataRange">"I13:I244"</definedName>
    <definedName name="cstDisplayType">"G24"</definedName>
    <definedName name="cstNumDecimals">"G25"</definedName>
    <definedName name="cstReportNoteColumn">9</definedName>
    <definedName name="Database">#REF!</definedName>
    <definedName name="Database_MI" localSheetId="6">#REF!</definedName>
    <definedName name="Database_MI">#REF!</definedName>
    <definedName name="dataRange">"I13:I244"</definedName>
    <definedName name="footnotes" localSheetId="5">'Chart PF2.1.D'!$A$22:$J$28,'Chart PF2.1.D'!$A$29</definedName>
    <definedName name="footnotes" localSheetId="6">'Chart PF2.1.E'!$A$22,'Chart PF2.1.E'!$A$23:$I$24</definedName>
    <definedName name="in">#N/A</definedName>
    <definedName name="indicatorsoffset">#REF!</definedName>
    <definedName name="lll" localSheetId="6">#REF!</definedName>
    <definedName name="lll">#REF!</definedName>
    <definedName name="Notes" localSheetId="5">'Chart PF2.1.D'!$A$22:$J$28</definedName>
    <definedName name="Notes" localSheetId="6">'Chart PF2.1.E'!$A$22</definedName>
    <definedName name="NZ_Ed.Sys">#N/A</definedName>
    <definedName name="overseas">#N/A</definedName>
    <definedName name="_xlnm.Print_Area" localSheetId="2">'Chart PF2.1.A'!$C$6:$N$53</definedName>
    <definedName name="_xlnm.Print_Area" localSheetId="3">'Chart PF2.1.B'!$C$6:$N$53</definedName>
    <definedName name="_xlnm.Print_Area" localSheetId="4">'Chart PF2.1.C'!$C$5:$N$53</definedName>
    <definedName name="_xlnm.Print_Area" localSheetId="5">'Chart PF2.1.D'!$A$5:$J$19</definedName>
    <definedName name="_xlnm.Print_Area" localSheetId="6">'Chart PF2.1.E'!$A$6:$I$20</definedName>
    <definedName name="_xlnm.Print_Area" localSheetId="0">'Table PF2.1.A'!$A$1:$K$66</definedName>
    <definedName name="_xlnm.Print_Area" localSheetId="1">'Table PF2.1.B'!$A$1:$K$65</definedName>
    <definedName name="qryWorldOverallPrevalence" localSheetId="5">#REF!</definedName>
    <definedName name="qryWorldOverallPrevalence" localSheetId="6">#REF!</definedName>
    <definedName name="qryWorldOverallPrevalence">#REF!</definedName>
    <definedName name="Source" localSheetId="5">'Chart PF2.1.D'!$A$29</definedName>
    <definedName name="Source" localSheetId="6">'Chart PF2.1.E'!$A$23:$I$24</definedName>
    <definedName name="Subtitle" localSheetId="5">'Chart PF2.1.D'!$A$3:$J$4</definedName>
    <definedName name="Subtitle" localSheetId="6">'Chart PF2.1.E'!$A$3:$I$4</definedName>
    <definedName name="termix">#N/A</definedName>
    <definedName name="title" localSheetId="5">'Chart PF2.1.D'!$A$1:$J$4</definedName>
    <definedName name="title" localSheetId="6">'Chart PF2.1.E'!$A$1:$I$4</definedName>
    <definedName name="Title_" localSheetId="5">'Chart PF2.1.D'!$A$1:$J$2</definedName>
    <definedName name="Title_" localSheetId="6">'Chart PF2.1.E'!$A$1:$I$2</definedName>
    <definedName name="TopOfTable_Table_1" localSheetId="5">#REF!</definedName>
    <definedName name="TopOfTable_Table_1" localSheetId="6">#REF!</definedName>
    <definedName name="TopOfTable_Table_1">#REF!</definedName>
    <definedName name="TopOfTable_Table_6" localSheetId="5">#REF!</definedName>
    <definedName name="TopOfTable_Table_6" localSheetId="6">#REF!</definedName>
    <definedName name="TopOfTable_Table_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<sst xmlns="http://schemas.openxmlformats.org/spreadsheetml/2006/main" count="434" uniqueCount="118">
  <si>
    <r>
      <rPr>
        <sz val="10"/>
        <rFont val="Arial Narrow"/>
        <charset val="134"/>
      </rPr>
      <t xml:space="preserve">Table PF2.1.A. </t>
    </r>
    <r>
      <rPr>
        <b/>
        <sz val="10"/>
        <rFont val="Arial Narrow"/>
        <charset val="134"/>
      </rPr>
      <t>Summary of paid leave entitlements available to mothers</t>
    </r>
  </si>
  <si>
    <t>Paid maternity, parental and home care leave available to mothers, in weeks, 2024</t>
  </si>
  <si>
    <t>Paid maternity leave</t>
  </si>
  <si>
    <t>Paid parental and home care leave available to mothers</t>
  </si>
  <si>
    <t>Total paid leave available to mothers</t>
  </si>
  <si>
    <t>Length (weeks)</t>
  </si>
  <si>
    <r>
      <rPr>
        <sz val="8"/>
        <rFont val="Arial Narrow"/>
        <charset val="134"/>
      </rPr>
      <t>Average payment rate</t>
    </r>
    <r>
      <rPr>
        <sz val="8"/>
        <rFont val="Arial Narrow"/>
        <charset val="134"/>
      </rPr>
      <t xml:space="preserve"> (%)</t>
    </r>
  </si>
  <si>
    <t>Full-rate equivalent (weeks)</t>
  </si>
  <si>
    <t>Paid maternity leaveLength (weeks)</t>
  </si>
  <si>
    <t>Paid maternity leaveAverage payment rate (%)</t>
  </si>
  <si>
    <t>Paid maternity leaveFull-rate equivalent (weeks)</t>
  </si>
  <si>
    <t>Paid parental and home care leave available to mothersLength (weeks)</t>
  </si>
  <si>
    <t>Paid parental and home care leave available to mothersAverage payment rate (%)</t>
  </si>
  <si>
    <t>Paid parental and home care leave available to mothersFull-rate equivalent (weeks)</t>
  </si>
  <si>
    <t>Total paid leave available to mothersLength (weeks)</t>
  </si>
  <si>
    <t>Total paid leave available to mothersAverage payment rate (%)</t>
  </si>
  <si>
    <t>Total paid leave available to mothersFull-rate equivalent (weeks)</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</si>
  <si>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</si>
  <si>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</si>
  <si>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</si>
  <si>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</si>
  <si>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</si>
  <si>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</si>
  <si>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</si>
  <si>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</si>
  <si>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</si>
  <si>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</si>
  <si>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</si>
  <si>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</si>
  <si>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</si>
  <si>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</si>
  <si>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</si>
  <si>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</si>
  <si>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</si>
  <si>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</si>
  <si>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</si>
  <si>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</si>
  <si>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</si>
  <si>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</si>
  <si>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</si>
  <si>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</si>
  <si>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</si>
  <si>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</si>
  <si>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</si>
  <si>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</si>
  <si>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</si>
  <si>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</si>
  <si>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</si>
  <si>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</si>
  <si>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</si>
  <si>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</si>
  <si>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</si>
  <si>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</si>
  <si>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</si>
  <si>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</si>
  <si>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OECD average</t>
  </si>
  <si>
    <t>-</t>
  </si>
  <si>
    <t>Bulgaria</t>
  </si>
  <si>
    <t>Croatia</t>
  </si>
  <si>
    <t>Cyprus</t>
  </si>
  <si>
    <t>Malta</t>
  </si>
  <si>
    <t>Romania</t>
  </si>
  <si>
    <t>EU average</t>
  </si>
  <si>
    <t>Notes: Information refers to paid parental leave and subsequent periods of paid home care leave to care for young children (sometimes under a different name, for example, “childcare leave” or “child raising leave”, or the Complément de Libre Choix d’Activité in France). The table refers to paid leave entitlements in place as of April 2024. Data reflect entitlements at the national or federal level only, and do not reflect regional variations or additional/alternative entitlements provided by states/provinces or local governments in some countries (e.g. Québec in Canada, or California in the United States). The "average payment rate" refers the proportion of previous earnings replaced by the benefit over the length of the paid leave entitlement for a person earning 100% of average national full-time earnings. If this covers more than one period of leave at two different payment rates then a weighted average is calculated based on the length of each period. In most countries benefits are calculated on the basis of gross earnings, with the "payment rates" shown reflecting the proportion of gross earnings replaced by the benefit. In Austria, Chile, Germany. Lithuania and Romania (parental leave only), benefits are calculated based on previous net (post income tax and social security contribution) earnings, while in France benefits are calculated based on post-social-security-contribution earnings. Payment rates for these countries reflect the proportion of the appropriate net earnings replaced by the benefit. Additionally, in some countries maternity and parental benefits may be subject to taxation and may count towards the income base for social security contributions. As a result, the amounts actual amounts received by the individual on leave may differ from those shown in the table. See Tables PF2.1.C, PF2.1.D, and PF2.1.E for details on benefit payment rules and conditions. Data on all earnings refer to 2023 and net earnings for Chile refer to 2016.</t>
  </si>
  <si>
    <t>Sources: See tables PF2.1.C-PF2.1.E</t>
  </si>
  <si>
    <r>
      <rPr>
        <sz val="10"/>
        <rFont val="Arial Narrow"/>
        <charset val="134"/>
      </rPr>
      <t xml:space="preserve">Table PF2.1.B. </t>
    </r>
    <r>
      <rPr>
        <b/>
        <sz val="10"/>
        <rFont val="Arial Narrow"/>
        <charset val="134"/>
      </rPr>
      <t>Summary of paid leave entitlements for fathers</t>
    </r>
  </si>
  <si>
    <t>Paid paternity leave and paid parental and home care leave (effectively) earmarked for fathers, in weeks, in weeks, 2024</t>
  </si>
  <si>
    <t>Paid paternity leave</t>
  </si>
  <si>
    <t>Paid parental and home care leave reserved for fathers</t>
  </si>
  <si>
    <t>Total paid leave reserved for fathers</t>
  </si>
  <si>
    <t>Paid paternity leaveLength (weeks)</t>
  </si>
  <si>
    <t>Paid paternity leaveAverage payment rate (%)</t>
  </si>
  <si>
    <t>Paid paternity leaveFull-rate equivalent (weeks)</t>
  </si>
  <si>
    <t>Paid parental and home care leave reserved for fathersLength (weeks)</t>
  </si>
  <si>
    <t>Paid parental and home care leave reserved for fathersAverage payment rate (%)</t>
  </si>
  <si>
    <t>Paid parental and home care leave reserved for fathersFull-rate equivalent (weeks)</t>
  </si>
  <si>
    <t>Total paid leave reserved for fathersLength (weeks)</t>
  </si>
  <si>
    <t>Total paid leave reserved for fathersAverage payment rate (%)</t>
  </si>
  <si>
    <t>Total paid leave reserved for fathersFull-rate equivalent (weeks)</t>
  </si>
  <si>
    <t>Notes: Information refers to entitlements to paternity leave, 'father quotas' or periods of parental leave that can be used only by the father and cannot be transferred to the mother, and any weeks of sharable leave that must be taken by the father in order for the family to qualify for 'bonus' weeks of parental leave. The table refers to paid leave entitlements in place as of April 2024. Data reflect entitlements at the national or federal level only, and do not reflect regional variations or additional/alternative entitlements provided by states/provinces or local governments in some countries (e.g. Québec in Canada, or California in the United States). he "average payment rate" refers the proportion of previous earnings replaced by the benefit over the length of the paid leave entitlement for a person earning 100% of average national full-time earnings. If this covers more than one period of leave at two different payment rates then a weighted average is calculated based on the length of each period. In most countries benefits are calculated on the basis of gross earnings, with the "payment rates" shown reflecting the proportion of gross earnings replaced by the benefit. In Austria, Chile, Germany, Lithuania and Romania (parental leave only), benefits are calculated based on previous net (post income tax and social security contribution) earnings, while in France benefits are calculated based on post-social-security-contribution earnings. Payment rates for these countries reflect the proportion of the appropriate net earnings replaced by the benefit. Additionally, in some countries maternity and parental benefits may be subject to taxation and may count towards the income base for social security contributions. As a result, the amounts actual amounts received by the individual on leave may differ from those shown in the table. See Tables PF2.1.C, PF2.1.D, and PF2.1.E for details on benefit payment rules and conditions. Data on all earnings refer to 2023 and net earnings for Chile refer to 2016.</t>
  </si>
  <si>
    <r>
      <rPr>
        <sz val="10"/>
        <color rgb="FF000000"/>
        <rFont val="Arial Narrow"/>
        <charset val="134"/>
      </rPr>
      <t xml:space="preserve">Chart PF2.1.A. </t>
    </r>
    <r>
      <rPr>
        <b/>
        <sz val="10"/>
        <color rgb="FF000000"/>
        <rFont val="Arial Narrow"/>
        <charset val="134"/>
      </rPr>
      <t>Paid maternity leave</t>
    </r>
  </si>
  <si>
    <t>Duration of paid maternity leave and the average payment rate across paid maternity leave for an individual on national average earnings, 2024</t>
  </si>
  <si>
    <t>Panel A. Weeks of paid maternity leave</t>
  </si>
  <si>
    <t>Panel B. Average payment rate across paid maternity leave (%)</t>
  </si>
  <si>
    <t>Length in weeks</t>
  </si>
  <si>
    <t>Payment rate (%)</t>
  </si>
  <si>
    <t>Note: Striped bars indicate payment rates based on net earnings. Data on all earnings refer to 2023 and net earnings for Chile refer to 2016. See notes to Table PF2.1.A.</t>
  </si>
  <si>
    <t>Sources: See Tables PF2.1.C-PF2.1.E</t>
  </si>
  <si>
    <r>
      <rPr>
        <sz val="10"/>
        <color rgb="FF000000"/>
        <rFont val="Arial Narrow"/>
        <charset val="134"/>
      </rPr>
      <t xml:space="preserve">Chart PF2.1.B. </t>
    </r>
    <r>
      <rPr>
        <b/>
        <sz val="10"/>
        <color rgb="FF000000"/>
        <rFont val="Arial Narrow"/>
        <charset val="134"/>
      </rPr>
      <t>Paid parental and home care leave available to mothers</t>
    </r>
  </si>
  <si>
    <t>Duration of paid parental and home care leave available to mothers, and the average payment rate across paid parental and home care leave available to mothers for an individual on national average earnings, 2024</t>
  </si>
  <si>
    <t>Panel A. Weeks of paid parental and home care leave</t>
  </si>
  <si>
    <t>Panel B. Average payment rate across paid parental and home care leave (%)</t>
  </si>
  <si>
    <t>Paid parental and home care leave</t>
  </si>
  <si>
    <t>Note: Striped bars indicates payment rates based on net earnings. Data on all earnings refer to 2023 and net earnings for Chile refer to 2016. See notes to Table PF2.1.A.</t>
  </si>
  <si>
    <r>
      <rPr>
        <sz val="10"/>
        <color rgb="FF000000"/>
        <rFont val="Arial Narrow"/>
        <charset val="134"/>
      </rPr>
      <t xml:space="preserve">Chart PF2.1.C. </t>
    </r>
    <r>
      <rPr>
        <b/>
        <sz val="10"/>
        <color rgb="FF000000"/>
        <rFont val="Arial Narrow"/>
        <charset val="134"/>
      </rPr>
      <t>Paid leave earmarked for fathers</t>
    </r>
  </si>
  <si>
    <t>Duration of paid paternity leave and paid father-specific parental and home care leave in weeks, and the average payment rate across paid paternity and father-specific leave for an individual on national average earnings, 2024</t>
  </si>
  <si>
    <t>Panel A. Weeks of father-specific leave</t>
  </si>
  <si>
    <t>Panel B. Average payment rate across paid father-specific leave (%)</t>
  </si>
  <si>
    <t>Paternity leave</t>
  </si>
  <si>
    <t>Father-specific parental and homecare leave</t>
  </si>
  <si>
    <t>Average payment rate (%) across father-specific leave</t>
  </si>
  <si>
    <t>Note: Striped bars indicate payment rates based on net earnings. For Romania, the payment rate for paternity leave is based on gross earnings, while the payment rate for father-specific parental leave is based on net earnings. Data on all earnings refer to 2023 and net earnings for Chile refer to 2016. See notes to Table PF2.1.B.</t>
  </si>
  <si>
    <t>a. See note a. to Table PF2.1.A</t>
  </si>
  <si>
    <t>b. See note b. to Table PF2.1.A</t>
  </si>
  <si>
    <t>c. See note c. to Table PF2.1.A</t>
  </si>
  <si>
    <r>
      <rPr>
        <sz val="10"/>
        <color rgb="FF000000"/>
        <rFont val="Arial Narrow"/>
        <charset val="134"/>
      </rPr>
      <t xml:space="preserve">Chart PF2.1.D. </t>
    </r>
    <r>
      <rPr>
        <b/>
        <sz val="10"/>
        <color rgb="FF000000"/>
        <rFont val="Arial Narrow"/>
        <charset val="134"/>
      </rPr>
      <t>Earmarked and shareable family leave entitlements</t>
    </r>
  </si>
  <si>
    <t>Duration of earmarked and shareable family leave entitlements, in weeks, 2024</t>
  </si>
  <si>
    <t>Earmarked for mothers</t>
  </si>
  <si>
    <t>Earmarked for fathers</t>
  </si>
  <si>
    <t>Shareable (most often taken by mothers)</t>
  </si>
  <si>
    <t xml:space="preserve">France </t>
  </si>
  <si>
    <t>Note: Information refers to paid birth-related leave entitlements to care for young children in place as of April 2024, such as maternity-, paternity-, home care- and parental leave. Periods labelled “earmarked for mothers” and “earmarked for fathers” refer to individual non-transferable entitlements for paid employment-protected leave of absence for employed parents, “mummy and daddy quotas” or periods of an overall leave entitlement that can be used only by one parent and cannot be transferred to the other, as well as any weeks of shareable leave that must be taken by one or both parents for the family to qualify for “bonus” weeks of parental leave. Periods labelled “earmarked for mothers” includes weeks of maternity leave that are transferable to fathers. Weeks of shareable leave refer to parental- and home care leave entitlements that can be freely shared between mothers and fathers. For Japan, the 44 weeks of the individual parental leave entitlements for the mother must be taken used simultaneously with the father if both parents are to use the entirety of their entitlement. The bar is therefore shaded. For other details, see notes to Tables PF2.1.A. and PF2.1.B..</t>
  </si>
  <si>
    <t>OECD Average</t>
  </si>
  <si>
    <t>Source: see tables PF2.1.C-PF2.1.E</t>
  </si>
  <si>
    <r>
      <rPr>
        <sz val="10"/>
        <color rgb="FF000000"/>
        <rFont val="Arial Narrow"/>
        <charset val="134"/>
      </rPr>
      <t>Chart PF2.1.E.</t>
    </r>
    <r>
      <rPr>
        <b/>
        <sz val="10"/>
        <color rgb="FF000000"/>
        <rFont val="Arial Narrow"/>
        <charset val="134"/>
      </rPr>
      <t xml:space="preserve"> Public expenditure on maternity and parental leaves</t>
    </r>
  </si>
  <si>
    <t>Public expenditure on maternity, paternity and parental and home care leaves per live birth, in current USD PPP, 2021</t>
  </si>
  <si>
    <t xml:space="preserve">OECD-35 average </t>
  </si>
  <si>
    <t>Source: OECD Social Expenditure Database and OECD data explorer (PPP detailed results and Fertility - Regions)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</si>
</sst>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numFmt numFmtId="177" formatCode="_(* #,##0.00_);_(* \(#,##0.00\);_(* &quot;-&quot;??_);_(@_)"/>
    <numFmt numFmtId="178" formatCode="&quot;On&quot;;&quot;On&quot;;&quot;Off&quot;"/>
    <numFmt numFmtId="179" formatCode="0.0"/>
    <numFmt numFmtId="180" formatCode=";;;"/>
  </numFmts>
  <fonts count="49">
    <font>
      <sz val="10"/>
      <name val="Arial"/>
      <charset val="134"/>
    </font>
    <font>
      <sz val="10"/>
      <name val="Arial Narrow"/>
      <charset val="134"/>
    </font>
    <font>
      <b/>
      <sz val="10"/>
      <color rgb="FF000000"/>
      <name val="Arial Narrow"/>
      <charset val="134"/>
    </font>
    <font>
      <sz val="10"/>
      <color rgb="FF000000"/>
      <name val="Arial Narrow"/>
      <charset val="134"/>
    </font>
    <font>
      <b/>
      <sz val="10"/>
      <name val="Arial Narrow"/>
      <charset val="134"/>
    </font>
    <font>
      <sz val="10"/>
      <color theme="1"/>
      <name val="Arial Narrow"/>
      <charset val="134"/>
    </font>
    <font>
      <b/>
      <sz val="10"/>
      <color theme="1"/>
      <name val="Arial Narrow"/>
      <charset val="134"/>
    </font>
    <font>
      <u/>
      <sz val="10"/>
      <color indexed="12"/>
      <name val="Arial Narrow"/>
      <charset val="134"/>
    </font>
    <font>
      <sz val="10"/>
      <name val="Arial"/>
      <charset val="134"/>
    </font>
    <font>
      <sz val="8"/>
      <name val="Arial Narrow"/>
      <charset val="134"/>
    </font>
    <font>
      <sz val="8"/>
      <color indexed="8"/>
      <name val="Arial Narrow"/>
      <charset val="134"/>
    </font>
    <font>
      <sz val="8"/>
      <color rgb="FF000000"/>
      <name val="Arial Narrow"/>
      <charset val="134"/>
    </font>
    <font>
      <sz val="10"/>
      <color theme="0"/>
      <name val="Arial"/>
      <charset val="134"/>
    </font>
    <font>
      <sz val="8"/>
      <color theme="0"/>
      <name val="Arial Narrow"/>
      <charset val="134"/>
    </font>
    <font>
      <sz val="9"/>
      <color indexed="8"/>
      <name val="Arial"/>
      <charset val="134"/>
    </font>
    <font>
      <sz val="9"/>
      <color rgb="FF000000"/>
      <name val="Arial Narrow"/>
      <charset val="134"/>
    </font>
    <font>
      <sz val="6"/>
      <color rgb="FF000000"/>
      <name val="Arial Narrow"/>
      <charset val="134"/>
    </font>
    <font>
      <sz val="8"/>
      <color theme="1"/>
      <name val="Arial Narrow"/>
      <charset val="134"/>
    </font>
    <font>
      <sz val="8"/>
      <color rgb="FFFF0000"/>
      <name val="Arial Narrow"/>
      <charset val="134"/>
    </font>
    <font>
      <sz val="10"/>
      <color indexed="8"/>
      <name val="Arial Narrow"/>
      <charset val="134"/>
    </font>
    <font>
      <sz val="12"/>
      <color theme="1"/>
      <name val="Calibri"/>
      <charset val="134"/>
      <scheme val="minor"/>
    </font>
    <font>
      <u/>
      <sz val="10"/>
      <color indexed="12"/>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0"/>
      <color indexed="8"/>
      <name val="Arial"/>
      <charset val="134"/>
    </font>
    <font>
      <sz val="11"/>
      <color rgb="FF006100"/>
      <name val="Calibri"/>
      <charset val="0"/>
      <scheme val="minor"/>
    </font>
    <font>
      <sz val="11"/>
      <color rgb="FF9C0006"/>
      <name val="Calibri"/>
      <charset val="0"/>
      <scheme val="minor"/>
    </font>
    <font>
      <sz val="11"/>
      <color rgb="FF9C6500"/>
      <name val="Calibri"/>
      <charset val="0"/>
      <scheme val="minor"/>
    </font>
    <font>
      <sz val="10"/>
      <color indexed="9"/>
      <name val="Arial"/>
      <charset val="134"/>
    </font>
    <font>
      <sz val="11"/>
      <color theme="1"/>
      <name val="Calibri"/>
      <charset val="0"/>
      <scheme val="minor"/>
    </font>
    <font>
      <sz val="11"/>
      <color theme="0"/>
      <name val="Calibri"/>
      <charset val="0"/>
      <scheme val="minor"/>
    </font>
    <font>
      <sz val="7"/>
      <name val="Arial"/>
      <charset val="134"/>
    </font>
    <font>
      <u/>
      <sz val="10"/>
      <color theme="10"/>
      <name val="Arial"/>
      <charset val="134"/>
    </font>
    <font>
      <sz val="10"/>
      <color theme="1"/>
      <name val="Arial"/>
      <charset val="134"/>
    </font>
    <font>
      <sz val="10"/>
      <color indexed="8"/>
      <name val="Arial"/>
      <charset val="134"/>
    </font>
    <font>
      <sz val="10"/>
      <name val="Arial CE"/>
      <charset val="238"/>
    </font>
    <font>
      <sz val="8"/>
      <name val="Arial"/>
      <charset val="134"/>
    </font>
    <font>
      <sz val="10"/>
      <name val="Times New Roman"/>
      <charset val="134"/>
    </font>
    <font>
      <sz val="11"/>
      <name val="ＭＳ Ｐゴシック"/>
      <charset val="128"/>
    </font>
  </fonts>
  <fills count="35">
    <fill>
      <patternFill patternType="none"/>
    </fill>
    <fill>
      <patternFill patternType="gray125"/>
    </fill>
    <fill>
      <patternFill patternType="solid">
        <fgColor theme="0"/>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62"/>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indexed="10"/>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indexed="57"/>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indexed="3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indexed="4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53"/>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indexed="62"/>
      </top>
      <bottom style="double">
        <color indexed="62"/>
      </bottom>
      <diagonal/>
    </border>
  </borders>
  <cellStyleXfs count="67">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top"/>
      <protection locked="0"/>
    </xf>
    <xf numFmtId="0" fontId="22" fillId="0" borderId="0" applyNumberFormat="0" applyFill="0" applyBorder="0" applyAlignment="0" applyProtection="0">
      <alignment vertical="center"/>
    </xf>
    <xf numFmtId="0" fontId="20" fillId="4" borderId="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8" fillId="0" borderId="0" applyNumberFormat="0" applyFill="0" applyBorder="0" applyAlignment="0" applyProtection="0">
      <alignment vertical="center"/>
    </xf>
    <xf numFmtId="0" fontId="29" fillId="5" borderId="12" applyNumberFormat="0" applyAlignment="0" applyProtection="0">
      <alignment vertical="center"/>
    </xf>
    <xf numFmtId="0" fontId="30" fillId="6" borderId="13" applyNumberFormat="0" applyAlignment="0" applyProtection="0">
      <alignment vertical="center"/>
    </xf>
    <xf numFmtId="0" fontId="31" fillId="6" borderId="12" applyNumberFormat="0" applyAlignment="0" applyProtection="0">
      <alignment vertical="center"/>
    </xf>
    <xf numFmtId="0" fontId="32" fillId="7" borderId="14" applyNumberFormat="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38" fillId="15" borderId="0" applyNumberFormat="0" applyBorder="0" applyAlignment="0" applyProtection="0"/>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38" fillId="19" borderId="0" applyNumberFormat="0" applyBorder="0" applyAlignment="0" applyProtection="0"/>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38" fillId="23" borderId="0" applyNumberFormat="0" applyBorder="0" applyAlignment="0" applyProtection="0"/>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38" fillId="27" borderId="0" applyNumberFormat="0" applyBorder="0" applyAlignment="0" applyProtection="0"/>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38" fillId="31" borderId="0" applyNumberFormat="0" applyBorder="0" applyAlignment="0" applyProtection="0"/>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176" fontId="41" fillId="0" borderId="0" applyFill="0" applyBorder="0" applyProtection="0"/>
    <xf numFmtId="177" fontId="8"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applyNumberFormat="0" applyFill="0" applyBorder="0" applyAlignment="0" applyProtection="0"/>
    <xf numFmtId="0" fontId="43" fillId="0" borderId="0"/>
    <xf numFmtId="0" fontId="8" fillId="0" borderId="0"/>
    <xf numFmtId="0" fontId="8" fillId="0" borderId="0"/>
    <xf numFmtId="0" fontId="8" fillId="0" borderId="0"/>
    <xf numFmtId="0" fontId="8" fillId="0" borderId="0"/>
    <xf numFmtId="0" fontId="8" fillId="0" borderId="0"/>
    <xf numFmtId="0" fontId="44" fillId="0" borderId="0"/>
    <xf numFmtId="0" fontId="45" fillId="0" borderId="0"/>
    <xf numFmtId="0" fontId="8" fillId="0" borderId="0"/>
    <xf numFmtId="0" fontId="46" fillId="0" borderId="0"/>
    <xf numFmtId="9" fontId="8" fillId="0" borderId="0" applyFont="0" applyFill="0" applyBorder="0" applyAlignment="0" applyProtection="0"/>
    <xf numFmtId="2" fontId="47" fillId="0" borderId="0" applyBorder="0">
      <alignment horizontal="right"/>
    </xf>
    <xf numFmtId="178" fontId="47" fillId="0" borderId="0" applyNumberFormat="0" applyBorder="0" applyAlignment="0"/>
    <xf numFmtId="0" fontId="48" fillId="0" borderId="0">
      <alignment vertical="center"/>
    </xf>
  </cellStyleXfs>
  <cellXfs count="152">
    <xf numFmtId="0" fontId="0" fillId="0" borderId="0" xfId="0"/>
    <xf numFmtId="0" fontId="1" fillId="0" borderId="0" xfId="54" applyFont="1"/>
    <xf numFmtId="0" fontId="1" fillId="0" borderId="0" xfId="54" applyFont="1" applyAlignment="1">
      <alignment horizontal="left"/>
    </xf>
    <xf numFmtId="0" fontId="2" fillId="0" borderId="0" xfId="54" applyFont="1" applyFill="1" applyAlignment="1">
      <alignment horizontal="left" vertical="top" wrapText="1"/>
    </xf>
    <xf numFmtId="0" fontId="3" fillId="0" borderId="0" xfId="54" applyFont="1" applyFill="1" applyAlignment="1">
      <alignment horizontal="left" vertical="top" wrapText="1"/>
    </xf>
    <xf numFmtId="0" fontId="3" fillId="0" borderId="0" xfId="54" applyFont="1" applyFill="1" applyAlignment="1">
      <alignment horizontal="center" vertical="top"/>
    </xf>
    <xf numFmtId="0" fontId="2" fillId="0" borderId="0" xfId="54" applyFont="1" applyFill="1"/>
    <xf numFmtId="0" fontId="3" fillId="0" borderId="0" xfId="54" applyFont="1" applyFill="1"/>
    <xf numFmtId="0" fontId="1" fillId="0" borderId="0" xfId="54" applyFont="1" applyFill="1"/>
    <xf numFmtId="0" fontId="3" fillId="0" borderId="0" xfId="54" applyFont="1" applyFill="1" applyAlignment="1">
      <alignment horizontal="left"/>
    </xf>
    <xf numFmtId="0" fontId="2" fillId="0" borderId="0" xfId="54" applyFont="1" applyFill="1" applyAlignment="1">
      <alignment horizontal="left" vertical="center"/>
    </xf>
    <xf numFmtId="0" fontId="2" fillId="0" borderId="0" xfId="54" applyFont="1" applyFill="1" applyAlignment="1">
      <alignment horizontal="left"/>
    </xf>
    <xf numFmtId="0" fontId="4" fillId="0" borderId="0" xfId="54" applyFont="1" applyAlignment="1">
      <alignment horizontal="left" vertical="top"/>
    </xf>
    <xf numFmtId="0" fontId="3" fillId="0" borderId="0" xfId="54" applyFont="1" applyFill="1" applyAlignment="1">
      <alignment horizontal="left" vertical="center" wrapText="1"/>
    </xf>
    <xf numFmtId="0" fontId="3" fillId="0" borderId="1" xfId="54" applyFont="1" applyFill="1" applyBorder="1" applyAlignment="1">
      <alignment horizontal="left"/>
    </xf>
    <xf numFmtId="0" fontId="3" fillId="0" borderId="1" xfId="54" applyFont="1" applyFill="1" applyBorder="1" applyAlignment="1">
      <alignment horizontal="right" vertical="top" wrapText="1"/>
    </xf>
    <xf numFmtId="0" fontId="4" fillId="0" borderId="0" xfId="54" applyFont="1" applyAlignment="1">
      <alignment horizontal="left"/>
    </xf>
    <xf numFmtId="0" fontId="5" fillId="0" borderId="0" xfId="0" applyFont="1" applyFill="1"/>
    <xf numFmtId="1" fontId="5" fillId="0" borderId="0" xfId="0" applyNumberFormat="1" applyFont="1" applyFill="1"/>
    <xf numFmtId="179" fontId="1" fillId="0" borderId="0" xfId="54" applyNumberFormat="1" applyFont="1" applyAlignment="1">
      <alignment horizontal="left"/>
    </xf>
    <xf numFmtId="0" fontId="6" fillId="0" borderId="0" xfId="0" applyFont="1" applyFill="1"/>
    <xf numFmtId="1" fontId="6" fillId="0" borderId="0" xfId="0" applyNumberFormat="1" applyFont="1" applyFill="1"/>
    <xf numFmtId="179" fontId="3" fillId="0" borderId="0" xfId="54" applyNumberFormat="1" applyFont="1" applyFill="1" applyAlignment="1">
      <alignment horizontal="left" vertical="top" wrapText="1"/>
    </xf>
    <xf numFmtId="179" fontId="3" fillId="0" borderId="0" xfId="54" applyNumberFormat="1" applyFont="1" applyFill="1" applyAlignment="1">
      <alignment horizontal="left"/>
    </xf>
    <xf numFmtId="0" fontId="3" fillId="0" borderId="0" xfId="54" applyFont="1" applyFill="1" applyAlignment="1">
      <alignment horizontal="left" vertical="top"/>
    </xf>
    <xf numFmtId="179" fontId="3" fillId="0" borderId="0" xfId="54" applyNumberFormat="1" applyFont="1" applyFill="1" applyAlignment="1">
      <alignment horizontal="left" vertical="top"/>
    </xf>
    <xf numFmtId="0" fontId="7" fillId="0" borderId="0" xfId="6" applyNumberFormat="1" applyFont="1" applyFill="1" applyBorder="1" applyAlignment="1" applyProtection="1">
      <alignment horizontal="left" vertical="top" wrapText="1"/>
    </xf>
    <xf numFmtId="0" fontId="7" fillId="0" borderId="0" xfId="6" applyNumberFormat="1" applyFont="1" applyFill="1" applyBorder="1" applyAlignment="1" applyProtection="1">
      <alignment vertical="top" wrapText="1"/>
    </xf>
    <xf numFmtId="0" fontId="1" fillId="0" borderId="0" xfId="54" applyFont="1" applyFill="1" applyAlignment="1">
      <alignment horizontal="left"/>
    </xf>
    <xf numFmtId="0" fontId="5" fillId="0" borderId="0" xfId="54" applyFont="1" applyAlignment="1">
      <alignment horizontal="left" vertical="top" wrapText="1"/>
    </xf>
    <xf numFmtId="180" fontId="0" fillId="0" borderId="0" xfId="0" applyNumberFormat="1"/>
    <xf numFmtId="180" fontId="8" fillId="0" borderId="0" xfId="0" applyNumberFormat="1" applyFont="1"/>
    <xf numFmtId="0" fontId="8"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Fill="1"/>
    <xf numFmtId="0" fontId="3" fillId="0" borderId="0" xfId="0" applyFont="1"/>
    <xf numFmtId="0" fontId="9" fillId="0" borderId="0" xfId="0" applyFont="1" applyAlignment="1">
      <alignment horizontal="left" vertical="top" wrapText="1"/>
    </xf>
    <xf numFmtId="0" fontId="9" fillId="0" borderId="0" xfId="0" applyFont="1"/>
    <xf numFmtId="0" fontId="3" fillId="0" borderId="0" xfId="0" applyFont="1" applyAlignment="1">
      <alignment vertical="top"/>
    </xf>
    <xf numFmtId="0" fontId="3" fillId="0" borderId="0" xfId="0" applyFont="1" applyAlignment="1">
      <alignment vertical="center" wrapText="1"/>
    </xf>
    <xf numFmtId="0" fontId="9" fillId="0" borderId="0" xfId="54" applyFont="1" applyAlignment="1">
      <alignment horizontal="left"/>
    </xf>
    <xf numFmtId="0" fontId="3" fillId="0" borderId="0" xfId="54" applyFont="1" applyAlignment="1">
      <alignment vertical="center" wrapText="1"/>
    </xf>
    <xf numFmtId="0" fontId="10" fillId="0" borderId="0" xfId="54" applyFont="1" applyBorder="1" applyAlignment="1">
      <alignment horizontal="center" vertical="center" wrapText="1"/>
    </xf>
    <xf numFmtId="0" fontId="0" fillId="0" borderId="0" xfId="0" applyBorder="1" applyAlignment="1">
      <alignment wrapText="1"/>
    </xf>
    <xf numFmtId="0" fontId="0" fillId="0" borderId="1" xfId="0" applyBorder="1" applyAlignment="1">
      <alignment wrapText="1"/>
    </xf>
    <xf numFmtId="0" fontId="10" fillId="0" borderId="1" xfId="54" applyFont="1" applyBorder="1" applyAlignment="1">
      <alignment horizontal="center" vertical="center" wrapText="1"/>
    </xf>
    <xf numFmtId="0" fontId="11" fillId="0" borderId="0" xfId="0" applyFont="1" applyAlignment="1">
      <alignment vertical="center"/>
    </xf>
    <xf numFmtId="179" fontId="10" fillId="0" borderId="0" xfId="0" applyNumberFormat="1" applyFont="1" applyAlignment="1">
      <alignment horizontal="center" vertical="center"/>
    </xf>
    <xf numFmtId="0" fontId="3" fillId="0" borderId="0" xfId="54" applyFont="1" applyAlignment="1">
      <alignment vertical="top" wrapText="1"/>
    </xf>
    <xf numFmtId="180" fontId="1" fillId="0" borderId="0" xfId="54" applyNumberFormat="1" applyFont="1" applyAlignment="1">
      <alignment vertical="top" wrapText="1"/>
    </xf>
    <xf numFmtId="0" fontId="1" fillId="0" borderId="0" xfId="54" applyFont="1" applyAlignment="1">
      <alignment vertical="top" wrapText="1"/>
    </xf>
    <xf numFmtId="180" fontId="1" fillId="0" borderId="0" xfId="54" applyNumberFormat="1" applyFont="1" applyAlignment="1">
      <alignment vertical="center" wrapText="1"/>
    </xf>
    <xf numFmtId="0" fontId="1" fillId="0" borderId="0" xfId="54" applyFont="1" applyAlignment="1">
      <alignment vertical="center" wrapText="1"/>
    </xf>
    <xf numFmtId="180" fontId="12" fillId="2" borderId="0" xfId="0" applyNumberFormat="1" applyFont="1" applyFill="1"/>
    <xf numFmtId="0" fontId="12" fillId="2" borderId="0" xfId="0" applyFont="1" applyFill="1"/>
    <xf numFmtId="180" fontId="8" fillId="2" borderId="0" xfId="0" applyNumberFormat="1" applyFont="1" applyFill="1"/>
    <xf numFmtId="180" fontId="13" fillId="2" borderId="0" xfId="0" applyNumberFormat="1" applyFont="1" applyFill="1" applyAlignment="1">
      <alignment horizontal="center" vertical="center"/>
    </xf>
    <xf numFmtId="0" fontId="8" fillId="2" borderId="0" xfId="0" applyFont="1" applyFill="1"/>
    <xf numFmtId="0" fontId="0" fillId="0" borderId="0" xfId="0" applyFill="1"/>
    <xf numFmtId="0" fontId="14" fillId="0" borderId="0" xfId="0" applyFont="1" applyFill="1" applyAlignment="1">
      <alignment horizontal="center"/>
    </xf>
    <xf numFmtId="0" fontId="0" fillId="0" borderId="0" xfId="0" applyFill="1" applyBorder="1"/>
    <xf numFmtId="0" fontId="1" fillId="0" borderId="0" xfId="0" applyFont="1" applyFill="1" applyBorder="1"/>
    <xf numFmtId="0" fontId="1" fillId="0" borderId="0" xfId="54" applyFont="1" applyFill="1" applyBorder="1"/>
    <xf numFmtId="179" fontId="1" fillId="0" borderId="0" xfId="54" applyNumberFormat="1" applyFont="1" applyFill="1" applyBorder="1"/>
    <xf numFmtId="0" fontId="12" fillId="0" borderId="0" xfId="0" applyFont="1" applyFill="1"/>
    <xf numFmtId="0" fontId="3" fillId="0" borderId="0" xfId="0" applyFont="1" applyFill="1" applyAlignment="1">
      <alignment horizontal="left" vertical="top"/>
    </xf>
    <xf numFmtId="0" fontId="3" fillId="0" borderId="0" xfId="0" applyFont="1" applyFill="1" applyAlignment="1">
      <alignment horizontal="left" vertical="center" wrapText="1"/>
    </xf>
    <xf numFmtId="0" fontId="11" fillId="0" borderId="0" xfId="0" applyFont="1" applyFill="1" applyAlignment="1">
      <alignment horizontal="center" vertical="top" wrapText="1"/>
    </xf>
    <xf numFmtId="0" fontId="15" fillId="0" borderId="0" xfId="0" applyFont="1" applyFill="1" applyAlignment="1">
      <alignment horizontal="center" vertical="center"/>
    </xf>
    <xf numFmtId="0" fontId="11" fillId="0" borderId="0" xfId="0" applyFont="1" applyFill="1" applyAlignment="1">
      <alignment vertical="top"/>
    </xf>
    <xf numFmtId="0" fontId="15" fillId="0" borderId="0" xfId="0" applyFont="1" applyFill="1" applyAlignment="1">
      <alignment horizontal="center"/>
    </xf>
    <xf numFmtId="0" fontId="16" fillId="0" borderId="0" xfId="0" applyFont="1" applyFill="1" applyAlignment="1">
      <alignment horizontal="center" vertical="center"/>
    </xf>
    <xf numFmtId="0" fontId="9" fillId="0" borderId="0" xfId="0" applyFont="1" applyFill="1" applyAlignment="1">
      <alignment horizontal="left" vertical="top" wrapText="1"/>
    </xf>
    <xf numFmtId="0" fontId="9" fillId="0" borderId="0" xfId="0" applyFont="1" applyFill="1" applyBorder="1" applyAlignment="1">
      <alignment vertical="top" wrapText="1"/>
    </xf>
    <xf numFmtId="0" fontId="9" fillId="0" borderId="0" xfId="0" applyFont="1" applyFill="1" applyAlignment="1"/>
    <xf numFmtId="0" fontId="11" fillId="0" borderId="0" xfId="0" applyFont="1" applyFill="1" applyAlignment="1">
      <alignment vertical="top" wrapText="1"/>
    </xf>
    <xf numFmtId="0" fontId="17" fillId="0" borderId="0" xfId="0" applyNumberFormat="1" applyFont="1" applyFill="1" applyBorder="1" applyAlignment="1">
      <alignment vertical="top" wrapText="1"/>
    </xf>
    <xf numFmtId="0" fontId="3" fillId="0" borderId="0" xfId="0" applyFont="1" applyFill="1" applyBorder="1"/>
    <xf numFmtId="0" fontId="11" fillId="0" borderId="0" xfId="0" applyFont="1" applyFill="1" applyAlignment="1">
      <alignment horizontal="right"/>
    </xf>
    <xf numFmtId="0" fontId="11" fillId="0" borderId="0" xfId="0" applyFont="1" applyFill="1" applyBorder="1" applyAlignment="1">
      <alignment vertical="top" wrapText="1"/>
    </xf>
    <xf numFmtId="0" fontId="18" fillId="0" borderId="0" xfId="0" applyFont="1" applyFill="1" applyAlignment="1">
      <alignment vertical="top" wrapText="1"/>
    </xf>
    <xf numFmtId="0" fontId="18" fillId="0" borderId="0" xfId="0" applyFont="1" applyFill="1" applyBorder="1" applyAlignment="1">
      <alignment vertical="top" wrapText="1"/>
    </xf>
    <xf numFmtId="0" fontId="18" fillId="0" borderId="0" xfId="0" applyFont="1" applyFill="1" applyAlignment="1"/>
    <xf numFmtId="0" fontId="3" fillId="0" borderId="0" xfId="54" applyFont="1" applyFill="1" applyBorder="1" applyAlignment="1">
      <alignment vertical="top" wrapText="1"/>
    </xf>
    <xf numFmtId="0" fontId="19" fillId="0" borderId="0" xfId="0" applyFont="1" applyFill="1" applyBorder="1"/>
    <xf numFmtId="0" fontId="3" fillId="0" borderId="0" xfId="54" applyFont="1" applyFill="1" applyBorder="1" applyAlignment="1">
      <alignment vertical="center" wrapText="1"/>
    </xf>
    <xf numFmtId="0" fontId="9" fillId="0" borderId="0" xfId="54" applyFont="1" applyFill="1" applyBorder="1" applyAlignment="1">
      <alignment horizontal="left"/>
    </xf>
    <xf numFmtId="0" fontId="10" fillId="0" borderId="0" xfId="54" applyFont="1" applyFill="1" applyBorder="1" applyAlignment="1">
      <alignment horizontal="center" vertical="center"/>
    </xf>
    <xf numFmtId="0" fontId="10" fillId="0" borderId="0" xfId="54" applyFont="1" applyFill="1" applyBorder="1" applyAlignment="1">
      <alignment horizontal="center" vertical="center" wrapText="1"/>
    </xf>
    <xf numFmtId="0" fontId="10" fillId="0" borderId="0" xfId="54" applyFont="1" applyFill="1" applyBorder="1" applyAlignment="1">
      <alignment horizontal="left" vertical="center" wrapText="1"/>
    </xf>
    <xf numFmtId="0" fontId="11" fillId="0" borderId="0" xfId="54" applyFont="1" applyFill="1" applyBorder="1" applyAlignment="1">
      <alignment horizontal="left" vertical="top" wrapText="1"/>
    </xf>
    <xf numFmtId="0" fontId="11" fillId="0" borderId="1" xfId="54" applyFont="1" applyFill="1" applyBorder="1" applyAlignment="1">
      <alignment horizontal="left"/>
    </xf>
    <xf numFmtId="0" fontId="10" fillId="0" borderId="1" xfId="54" applyFont="1" applyFill="1" applyBorder="1" applyAlignment="1">
      <alignment horizontal="center" vertical="center"/>
    </xf>
    <xf numFmtId="0" fontId="10" fillId="0" borderId="1" xfId="54" applyFont="1" applyFill="1" applyBorder="1" applyAlignment="1">
      <alignment horizontal="center" vertical="center" wrapText="1"/>
    </xf>
    <xf numFmtId="0" fontId="10" fillId="0" borderId="1" xfId="54" applyFont="1" applyFill="1" applyBorder="1" applyAlignment="1">
      <alignment horizontal="left" vertical="center" wrapText="1"/>
    </xf>
    <xf numFmtId="0" fontId="11" fillId="0" borderId="0" xfId="0" applyFont="1" applyFill="1" applyBorder="1" applyAlignment="1">
      <alignment vertical="center"/>
    </xf>
    <xf numFmtId="179" fontId="10" fillId="0" borderId="0" xfId="0" applyNumberFormat="1" applyFont="1" applyFill="1" applyBorder="1" applyAlignment="1">
      <alignment horizontal="center" vertical="center"/>
    </xf>
    <xf numFmtId="179" fontId="12" fillId="0" borderId="0" xfId="0" applyNumberFormat="1" applyFont="1" applyFill="1"/>
    <xf numFmtId="0" fontId="1" fillId="0" borderId="0" xfId="0" applyFont="1" applyFill="1" applyBorder="1" applyAlignment="1">
      <alignment vertical="top" wrapText="1"/>
    </xf>
    <xf numFmtId="0" fontId="5" fillId="0" borderId="0" xfId="0" applyNumberFormat="1" applyFont="1" applyFill="1" applyBorder="1" applyAlignment="1">
      <alignment vertical="top" wrapText="1"/>
    </xf>
    <xf numFmtId="0" fontId="9" fillId="0" borderId="0" xfId="54" applyFont="1" applyFill="1" applyBorder="1" applyAlignment="1">
      <alignment horizontal="left" vertical="top" wrapText="1"/>
    </xf>
    <xf numFmtId="0" fontId="10" fillId="0" borderId="1" xfId="54" applyFont="1" applyFill="1" applyBorder="1" applyAlignment="1">
      <alignment horizontal="left" vertical="top" wrapText="1"/>
    </xf>
    <xf numFmtId="179" fontId="11" fillId="0" borderId="0" xfId="0" applyNumberFormat="1" applyFont="1" applyFill="1" applyBorder="1" applyAlignment="1">
      <alignment horizontal="center" vertical="center"/>
    </xf>
    <xf numFmtId="179" fontId="19" fillId="0" borderId="0" xfId="0" applyNumberFormat="1" applyFont="1" applyFill="1" applyBorder="1"/>
    <xf numFmtId="179" fontId="0" fillId="0" borderId="0" xfId="0" applyNumberFormat="1" applyFill="1"/>
    <xf numFmtId="179" fontId="1" fillId="0" borderId="0" xfId="0" applyNumberFormat="1" applyFont="1" applyFill="1" applyBorder="1"/>
    <xf numFmtId="0" fontId="3" fillId="0" borderId="0" xfId="0" applyFont="1" applyFill="1" applyAlignment="1">
      <alignment horizontal="center" vertical="center" wrapText="1"/>
    </xf>
    <xf numFmtId="0" fontId="11" fillId="0" borderId="0" xfId="0" applyFont="1" applyFill="1" applyAlignment="1">
      <alignment horizontal="center" vertical="top"/>
    </xf>
    <xf numFmtId="0" fontId="11" fillId="0" borderId="1" xfId="54" applyFont="1" applyFill="1" applyBorder="1" applyAlignment="1">
      <alignment horizontal="left" vertical="top" wrapText="1"/>
    </xf>
    <xf numFmtId="0" fontId="0" fillId="0" borderId="0" xfId="0" applyBorder="1"/>
    <xf numFmtId="0" fontId="4" fillId="2" borderId="0" xfId="54" applyFont="1" applyFill="1" applyAlignment="1">
      <alignment horizontal="left" vertical="top" wrapText="1"/>
    </xf>
    <xf numFmtId="0" fontId="1" fillId="2" borderId="0" xfId="54" applyFont="1" applyFill="1" applyAlignment="1">
      <alignment horizontal="left" vertical="top" wrapText="1"/>
    </xf>
    <xf numFmtId="0" fontId="1" fillId="2" borderId="0" xfId="54" applyFont="1" applyFill="1" applyBorder="1" applyAlignment="1">
      <alignment horizontal="center"/>
    </xf>
    <xf numFmtId="0" fontId="1" fillId="2" borderId="0" xfId="54" applyFont="1" applyFill="1" applyBorder="1" applyAlignment="1">
      <alignment horizontal="center" wrapText="1"/>
    </xf>
    <xf numFmtId="0" fontId="5" fillId="2" borderId="0" xfId="54" applyFont="1" applyFill="1" applyBorder="1" applyAlignment="1">
      <alignment horizontal="center" wrapText="1"/>
    </xf>
    <xf numFmtId="0" fontId="9" fillId="2" borderId="0" xfId="54" applyFont="1" applyFill="1" applyBorder="1" applyAlignment="1">
      <alignment horizontal="center"/>
    </xf>
    <xf numFmtId="0" fontId="9" fillId="2" borderId="2" xfId="54" applyFont="1" applyFill="1" applyBorder="1" applyAlignment="1">
      <alignment vertical="top" wrapText="1"/>
    </xf>
    <xf numFmtId="0" fontId="9" fillId="2" borderId="2" xfId="54" applyFont="1" applyFill="1" applyBorder="1" applyAlignment="1">
      <alignment horizontal="center" vertical="top" wrapText="1"/>
    </xf>
    <xf numFmtId="0" fontId="9" fillId="2" borderId="2" xfId="54" applyFont="1" applyFill="1" applyBorder="1" applyAlignment="1">
      <alignment horizontal="left" vertical="top" wrapText="1"/>
    </xf>
    <xf numFmtId="0" fontId="9" fillId="2" borderId="0" xfId="54" applyFont="1" applyFill="1" applyBorder="1" applyAlignment="1">
      <alignment horizontal="left" vertical="top" wrapText="1"/>
    </xf>
    <xf numFmtId="0" fontId="9" fillId="2" borderId="3" xfId="54" applyFont="1" applyFill="1" applyBorder="1" applyAlignment="1">
      <alignment horizontal="left" vertical="top" wrapText="1"/>
    </xf>
    <xf numFmtId="0" fontId="17" fillId="0" borderId="0" xfId="54" applyFont="1" applyFill="1" applyAlignment="1">
      <alignment horizontal="left"/>
    </xf>
    <xf numFmtId="179" fontId="17" fillId="0" borderId="2" xfId="54" applyNumberFormat="1" applyFont="1" applyFill="1" applyBorder="1" applyAlignment="1">
      <alignment horizontal="left"/>
    </xf>
    <xf numFmtId="179" fontId="17" fillId="0" borderId="0" xfId="54" applyNumberFormat="1" applyFont="1" applyFill="1" applyBorder="1" applyAlignment="1">
      <alignment horizontal="left"/>
    </xf>
    <xf numFmtId="179" fontId="17" fillId="2" borderId="3" xfId="54" applyNumberFormat="1" applyFont="1" applyFill="1" applyBorder="1" applyAlignment="1">
      <alignment horizontal="left"/>
    </xf>
    <xf numFmtId="179" fontId="17" fillId="0" borderId="3" xfId="54" applyNumberFormat="1" applyFont="1" applyFill="1" applyBorder="1" applyAlignment="1">
      <alignment horizontal="left"/>
    </xf>
    <xf numFmtId="0" fontId="17" fillId="3" borderId="0" xfId="54" applyFont="1" applyFill="1" applyAlignment="1">
      <alignment horizontal="left"/>
    </xf>
    <xf numFmtId="179" fontId="17" fillId="3" borderId="2" xfId="54" applyNumberFormat="1" applyFont="1" applyFill="1" applyBorder="1" applyAlignment="1">
      <alignment horizontal="left"/>
    </xf>
    <xf numFmtId="179" fontId="17" fillId="3" borderId="0" xfId="54" applyNumberFormat="1" applyFont="1" applyFill="1" applyBorder="1" applyAlignment="1">
      <alignment horizontal="left"/>
    </xf>
    <xf numFmtId="179" fontId="17" fillId="3" borderId="3" xfId="54" applyNumberFormat="1" applyFont="1" applyFill="1" applyBorder="1" applyAlignment="1">
      <alignment horizontal="left"/>
    </xf>
    <xf numFmtId="0" fontId="17" fillId="3" borderId="1" xfId="54" applyFont="1" applyFill="1" applyBorder="1" applyAlignment="1">
      <alignment horizontal="left"/>
    </xf>
    <xf numFmtId="179" fontId="17" fillId="3" borderId="4" xfId="54" applyNumberFormat="1" applyFont="1" applyFill="1" applyBorder="1" applyAlignment="1">
      <alignment horizontal="left"/>
    </xf>
    <xf numFmtId="179" fontId="17" fillId="3" borderId="1" xfId="54" applyNumberFormat="1" applyFont="1" applyFill="1" applyBorder="1" applyAlignment="1">
      <alignment horizontal="left"/>
    </xf>
    <xf numFmtId="179" fontId="17" fillId="3" borderId="5" xfId="54" applyNumberFormat="1" applyFont="1" applyFill="1" applyBorder="1" applyAlignment="1">
      <alignment horizontal="left"/>
    </xf>
    <xf numFmtId="0" fontId="17" fillId="0" borderId="6" xfId="54" applyFont="1" applyFill="1" applyBorder="1" applyAlignment="1">
      <alignment horizontal="left"/>
    </xf>
    <xf numFmtId="179" fontId="17" fillId="0" borderId="7" xfId="54" applyNumberFormat="1" applyFont="1" applyFill="1" applyBorder="1" applyAlignment="1">
      <alignment horizontal="left"/>
    </xf>
    <xf numFmtId="179" fontId="17" fillId="0" borderId="6" xfId="54" applyNumberFormat="1" applyFont="1" applyFill="1" applyBorder="1" applyAlignment="1">
      <alignment horizontal="left"/>
    </xf>
    <xf numFmtId="179" fontId="17" fillId="2" borderId="8" xfId="54" applyNumberFormat="1" applyFont="1" applyFill="1" applyBorder="1" applyAlignment="1">
      <alignment horizontal="left"/>
    </xf>
    <xf numFmtId="179" fontId="17" fillId="0" borderId="8" xfId="54" applyNumberFormat="1" applyFont="1" applyFill="1" applyBorder="1" applyAlignment="1">
      <alignment horizontal="left"/>
    </xf>
    <xf numFmtId="0" fontId="17" fillId="0" borderId="0" xfId="54" applyFont="1" applyFill="1" applyBorder="1" applyAlignment="1">
      <alignment horizontal="left"/>
    </xf>
    <xf numFmtId="179" fontId="17" fillId="2" borderId="0" xfId="54" applyNumberFormat="1" applyFont="1" applyFill="1" applyBorder="1" applyAlignment="1">
      <alignment horizontal="left"/>
    </xf>
    <xf numFmtId="0" fontId="9" fillId="2" borderId="0" xfId="54" applyFont="1" applyFill="1" applyAlignment="1">
      <alignment horizontal="left" vertical="top" wrapText="1"/>
    </xf>
    <xf numFmtId="179" fontId="17" fillId="0" borderId="0" xfId="54" applyNumberFormat="1" applyFont="1" applyFill="1" applyAlignment="1">
      <alignment horizontal="left"/>
    </xf>
    <xf numFmtId="179" fontId="17" fillId="3" borderId="0" xfId="54" applyNumberFormat="1" applyFont="1" applyFill="1" applyAlignment="1">
      <alignment horizontal="left"/>
    </xf>
    <xf numFmtId="0" fontId="9" fillId="2" borderId="0" xfId="0" applyFont="1" applyFill="1" applyBorder="1" applyAlignment="1">
      <alignment horizontal="left" vertical="top" wrapText="1"/>
    </xf>
    <xf numFmtId="0" fontId="1" fillId="2" borderId="0" xfId="54" applyFont="1" applyFill="1" applyBorder="1" applyAlignment="1">
      <alignment horizontal="left" vertical="top" wrapText="1"/>
    </xf>
    <xf numFmtId="0" fontId="17" fillId="2" borderId="1" xfId="54" applyFont="1" applyFill="1" applyBorder="1"/>
    <xf numFmtId="49" fontId="17" fillId="2" borderId="4" xfId="54" applyNumberFormat="1" applyFont="1" applyFill="1" applyBorder="1" applyAlignment="1">
      <alignment horizontal="left"/>
    </xf>
    <xf numFmtId="49" fontId="17" fillId="2" borderId="1" xfId="54" applyNumberFormat="1" applyFont="1" applyFill="1" applyBorder="1" applyAlignment="1">
      <alignment horizontal="left"/>
    </xf>
    <xf numFmtId="49" fontId="17" fillId="2" borderId="5" xfId="54" applyNumberFormat="1" applyFont="1" applyFill="1" applyBorder="1" applyAlignment="1">
      <alignment horizontal="left"/>
    </xf>
    <xf numFmtId="179" fontId="0" fillId="0" borderId="0" xfId="0" applyNumberFormat="1"/>
  </cellXfs>
  <cellStyles count="67">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 name="AZ1" xfId="49"/>
    <cellStyle name="Comma 2" xfId="50"/>
    <cellStyle name="Hyperlink 2" xfId="51"/>
    <cellStyle name="Hyperlink 3" xfId="52"/>
    <cellStyle name="Normal 2" xfId="53"/>
    <cellStyle name="Normal 2 2" xfId="54"/>
    <cellStyle name="Normal 2 3" xfId="55"/>
    <cellStyle name="Normal 2 4" xfId="56"/>
    <cellStyle name="Normal 3" xfId="57"/>
    <cellStyle name="Normal 4" xfId="58"/>
    <cellStyle name="Normal 6" xfId="59"/>
    <cellStyle name="Normal 8" xfId="60"/>
    <cellStyle name="Normal 9" xfId="61"/>
    <cellStyle name="Normalny_FDB Quest - Parenting support" xfId="62"/>
    <cellStyle name="Percent 2" xfId="63"/>
    <cellStyle name="Snorm" xfId="64"/>
    <cellStyle name="socxn" xfId="65"/>
    <cellStyle name="標準_②Ｂ分類事項一覧（英語）" xfId="66"/>
  </cellStyles>
  <tableStyles count="0" defaultTableStyle="TableStyleMedium9" defaultPivotStyle="PivotStyleLight16"/>
  <colors>
    <mruColors>
      <color rgb="007FA8D9"/>
      <color rgb="004F81BD"/>
      <color rgb="00006BB6"/>
      <color rgb="00002F6C"/>
      <color rgb="0053B7E8"/>
      <color rgb="0083D2E3"/>
      <color rgb="0000AACC"/>
      <color rgb="00CCCCCC"/>
      <color rgb="00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6.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clustered"/>
        <c:varyColors val="0"/>
        <c:ser>
          <c:idx val="0"/>
          <c:order val="0"/>
          <c:tx>
            <c:strRef>
              <c:f>'Chart PF2.1.A'!$T$8</c:f>
              <c:strCache>
                <c:ptCount val="1"/>
                <c:pt idx="0">
                  <c:v>Payment rate (%)</c:v>
                </c:pt>
              </c:strCache>
            </c:strRef>
          </c:tx>
          <c:spPr>
            <a:solidFill>
              <a:srgbClr val="002F6C"/>
            </a:solidFill>
            <a:ln w="9525">
              <a:noFill/>
            </a:ln>
            <a:effectLst/>
          </c:spPr>
          <c:invertIfNegative val="0"/>
          <c:dPt>
            <c:idx val="10"/>
            <c:invertIfNegative val="0"/>
            <c:bubble3D val="0"/>
          </c:dPt>
          <c:dPt>
            <c:idx val="11"/>
            <c:invertIfNegative val="0"/>
            <c:bubble3D val="0"/>
          </c:dPt>
          <c:dPt>
            <c:idx val="13"/>
            <c:invertIfNegative val="0"/>
            <c:bubble3D val="0"/>
          </c:dPt>
          <c:dPt>
            <c:idx val="14"/>
            <c:invertIfNegative val="0"/>
            <c:bubble3D val="0"/>
          </c:dPt>
          <c:dPt>
            <c:idx val="15"/>
            <c:invertIfNegative val="0"/>
            <c:bubble3D val="0"/>
          </c:dPt>
          <c:dPt>
            <c:idx val="16"/>
            <c:invertIfNegative val="0"/>
            <c:bubble3D val="0"/>
            <c:spPr>
              <a:pattFill prst="wdUpDiag">
                <a:fgClr>
                  <a:srgbClr val="002F6C"/>
                </a:fgClr>
                <a:bgClr>
                  <a:srgbClr val="7FA8D9"/>
                </a:bgClr>
              </a:pattFill>
              <a:ln w="9525">
                <a:noFill/>
              </a:ln>
              <a:effectLst/>
            </c:spPr>
          </c:dPt>
          <c:dPt>
            <c:idx val="17"/>
            <c:invertIfNegative val="0"/>
            <c:bubble3D val="0"/>
            <c:spPr>
              <a:pattFill prst="wdUpDiag">
                <a:fgClr>
                  <a:srgbClr val="002F6C"/>
                </a:fgClr>
                <a:bgClr>
                  <a:srgbClr val="7FA8D9"/>
                </a:bgClr>
              </a:pattFill>
              <a:ln w="9525">
                <a:noFill/>
              </a:ln>
              <a:effectLst/>
            </c:spPr>
          </c:dPt>
          <c:dPt>
            <c:idx val="19"/>
            <c:invertIfNegative val="0"/>
            <c:bubble3D val="0"/>
            <c:spPr>
              <a:pattFill prst="wdUpDiag">
                <a:fgClr>
                  <a:srgbClr val="002F6C"/>
                </a:fgClr>
                <a:bgClr>
                  <a:srgbClr val="002F6C"/>
                </a:bgClr>
              </a:pattFill>
              <a:ln w="9525">
                <a:noFill/>
              </a:ln>
              <a:effectLst/>
            </c:spPr>
          </c:dPt>
          <c:dPt>
            <c:idx val="20"/>
            <c:invertIfNegative val="0"/>
            <c:bubble3D val="0"/>
          </c:dPt>
          <c:dPt>
            <c:idx val="21"/>
            <c:invertIfNegative val="0"/>
            <c:bubble3D val="0"/>
          </c:dPt>
          <c:dPt>
            <c:idx val="22"/>
            <c:invertIfNegative val="0"/>
            <c:bubble3D val="0"/>
          </c:dPt>
          <c:dPt>
            <c:idx val="23"/>
            <c:invertIfNegative val="0"/>
            <c:bubble3D val="0"/>
          </c:dPt>
          <c:dPt>
            <c:idx val="24"/>
            <c:invertIfNegative val="0"/>
            <c:bubble3D val="0"/>
            <c:spPr>
              <a:pattFill prst="wdUpDiag">
                <a:fgClr>
                  <a:srgbClr val="002F6C"/>
                </a:fgClr>
                <a:bgClr>
                  <a:srgbClr val="7FA8D9"/>
                </a:bgClr>
              </a:pattFill>
              <a:ln w="9525">
                <a:noFill/>
              </a:ln>
              <a:effectLst/>
            </c:spPr>
          </c:dPt>
          <c:dPt>
            <c:idx val="25"/>
            <c:invertIfNegative val="0"/>
            <c:bubble3D val="0"/>
          </c:dPt>
          <c:dPt>
            <c:idx val="26"/>
            <c:invertIfNegative val="0"/>
            <c:bubble3D val="0"/>
            <c:spPr>
              <a:pattFill prst="wdUpDiag">
                <a:fgClr>
                  <a:srgbClr val="002060"/>
                </a:fgClr>
                <a:bgClr>
                  <a:srgbClr val="7FA8D9"/>
                </a:bgClr>
              </a:pattFill>
              <a:ln w="9525">
                <a:noFill/>
              </a:ln>
              <a:effectLst/>
            </c:spPr>
          </c:dPt>
          <c:dPt>
            <c:idx val="27"/>
            <c:invertIfNegative val="0"/>
            <c:bubble3D val="0"/>
          </c:dPt>
          <c:dPt>
            <c:idx val="28"/>
            <c:invertIfNegative val="0"/>
            <c:bubble3D val="0"/>
            <c:spPr>
              <a:solidFill>
                <a:srgbClr val="002060"/>
              </a:solidFill>
              <a:ln w="9525">
                <a:noFill/>
              </a:ln>
              <a:effectLst/>
            </c:spPr>
          </c:dPt>
          <c:dPt>
            <c:idx val="29"/>
            <c:invertIfNegative val="0"/>
            <c:bubble3D val="0"/>
            <c:spPr>
              <a:pattFill prst="wdUpDiag">
                <a:fgClr>
                  <a:srgbClr val="002F6C"/>
                </a:fgClr>
                <a:bgClr>
                  <a:srgbClr val="002F6C"/>
                </a:bgClr>
              </a:pattFill>
              <a:ln w="9525">
                <a:noFill/>
              </a:ln>
              <a:effectLst/>
            </c:spPr>
          </c:dPt>
          <c:dPt>
            <c:idx val="30"/>
            <c:invertIfNegative val="0"/>
            <c:bubble3D val="0"/>
            <c:spPr>
              <a:pattFill prst="wdUpDiag">
                <a:fgClr>
                  <a:srgbClr val="002F6C"/>
                </a:fgClr>
                <a:bgClr>
                  <a:srgbClr val="002F6C"/>
                </a:bgClr>
              </a:pattFill>
              <a:ln w="9525">
                <a:noFill/>
              </a:ln>
              <a:effectLst/>
            </c:spPr>
          </c:dPt>
          <c:dPt>
            <c:idx val="32"/>
            <c:invertIfNegative val="0"/>
            <c:bubble3D val="0"/>
          </c:dPt>
          <c:dPt>
            <c:idx val="33"/>
            <c:invertIfNegative val="0"/>
            <c:bubble3D val="0"/>
          </c:dPt>
          <c:dPt>
            <c:idx val="34"/>
            <c:invertIfNegative val="0"/>
            <c:bubble3D val="0"/>
          </c:dPt>
          <c:dPt>
            <c:idx val="35"/>
            <c:invertIfNegative val="0"/>
            <c:bubble3D val="0"/>
            <c:spPr>
              <a:pattFill prst="wdUpDiag">
                <a:fgClr>
                  <a:srgbClr val="002F6C"/>
                </a:fgClr>
                <a:bgClr>
                  <a:srgbClr val="7FA8D9"/>
                </a:bgClr>
              </a:pattFill>
              <a:ln w="9525">
                <a:noFill/>
              </a:ln>
              <a:effectLst/>
            </c:spPr>
          </c:dPt>
          <c:dPt>
            <c:idx val="36"/>
            <c:invertIfNegative val="0"/>
            <c:bubble3D val="0"/>
          </c:dPt>
          <c:dPt>
            <c:idx val="37"/>
            <c:invertIfNegative val="0"/>
            <c:bubble3D val="0"/>
            <c:spPr>
              <a:pattFill prst="wdUpDiag">
                <a:fgClr>
                  <a:srgbClr val="002F6C"/>
                </a:fgClr>
                <a:bgClr>
                  <a:srgbClr val="002F6C"/>
                </a:bgClr>
              </a:pattFill>
              <a:ln w="9525">
                <a:noFill/>
              </a:ln>
              <a:effectLst/>
            </c:spPr>
          </c:dPt>
          <c:dLbls>
            <c:delete val="1"/>
          </c:dLbls>
          <c:cat>
            <c:strRef>
              <c:f>'Chart PF2.1.A'!$R$9:$R$53</c:f>
              <c:strCache>
                <c:ptCount val="45"/>
                <c:pt idx="0">
                  <c:v>Bulgaria</c:v>
                </c:pt>
                <c:pt idx="1">
                  <c:v>Greece</c:v>
                </c:pt>
                <c:pt idx="2">
                  <c:v>United Kingdom</c:v>
                </c:pt>
                <c:pt idx="3">
                  <c:v>Slovak Republic</c:v>
                </c:pt>
                <c:pt idx="4">
                  <c:v>Croatia</c:v>
                </c:pt>
                <c:pt idx="5">
                  <c:v>Czechia</c:v>
                </c:pt>
                <c:pt idx="6">
                  <c:v>Iceland</c:v>
                </c:pt>
                <c:pt idx="7">
                  <c:v>New Zealand</c:v>
                </c:pt>
                <c:pt idx="8">
                  <c:v>Ireland</c:v>
                </c:pt>
                <c:pt idx="9">
                  <c:v>Hungary</c:v>
                </c:pt>
                <c:pt idx="10">
                  <c:v>Denmark</c:v>
                </c:pt>
                <c:pt idx="11">
                  <c:v>Cyprus</c:v>
                </c:pt>
                <c:pt idx="12">
                  <c:v>Italy</c:v>
                </c:pt>
                <c:pt idx="13">
                  <c:v>EU average</c:v>
                </c:pt>
                <c:pt idx="14">
                  <c:v>Luxembourg</c:v>
                </c:pt>
                <c:pt idx="15">
                  <c:v>Poland</c:v>
                </c:pt>
                <c:pt idx="16">
                  <c:v>OECD average</c:v>
                </c:pt>
                <c:pt idx="17">
                  <c:v>Chile</c:v>
                </c:pt>
                <c:pt idx="18">
                  <c:v>Colombia</c:v>
                </c:pt>
                <c:pt idx="19">
                  <c:v>Norway</c:v>
                </c:pt>
                <c:pt idx="20">
                  <c:v>Malta</c:v>
                </c:pt>
                <c:pt idx="21">
                  <c:v>Romania</c:v>
                </c:pt>
                <c:pt idx="22">
                  <c:v>Lithuania</c:v>
                </c:pt>
                <c:pt idx="23">
                  <c:v>Costa Rica</c:v>
                </c:pt>
                <c:pt idx="24">
                  <c:v>Austria</c:v>
                </c:pt>
                <c:pt idx="25">
                  <c:v>Netherlands</c:v>
                </c:pt>
                <c:pt idx="26">
                  <c:v>France</c:v>
                </c:pt>
                <c:pt idx="27">
                  <c:v>Türkiye</c:v>
                </c:pt>
                <c:pt idx="28">
                  <c:v>Spain</c:v>
                </c:pt>
                <c:pt idx="29">
                  <c:v>Latvia</c:v>
                </c:pt>
                <c:pt idx="30">
                  <c:v>Canada</c:v>
                </c:pt>
                <c:pt idx="31">
                  <c:v>Israel</c:v>
                </c:pt>
                <c:pt idx="32">
                  <c:v>Slovenia</c:v>
                </c:pt>
                <c:pt idx="33">
                  <c:v>Belgium</c:v>
                </c:pt>
                <c:pt idx="34">
                  <c:v>Estonia</c:v>
                </c:pt>
                <c:pt idx="35">
                  <c:v>Germany</c:v>
                </c:pt>
                <c:pt idx="36">
                  <c:v>Japan</c:v>
                </c:pt>
                <c:pt idx="37">
                  <c:v>Switzerland</c:v>
                </c:pt>
                <c:pt idx="38">
                  <c:v>Korea</c:v>
                </c:pt>
                <c:pt idx="39">
                  <c:v>Sweden</c:v>
                </c:pt>
                <c:pt idx="40">
                  <c:v>Mexico</c:v>
                </c:pt>
                <c:pt idx="41">
                  <c:v>Finland</c:v>
                </c:pt>
                <c:pt idx="42">
                  <c:v>Portugal</c:v>
                </c:pt>
                <c:pt idx="43">
                  <c:v>Australia</c:v>
                </c:pt>
                <c:pt idx="44">
                  <c:v>United States</c:v>
                </c:pt>
              </c:strCache>
            </c:strRef>
          </c:cat>
          <c:val>
            <c:numRef>
              <c:f>'Chart PF2.1.A'!$T$9:$T$53</c:f>
              <c:numCache>
                <c:formatCode>0.0</c:formatCode>
                <c:ptCount val="45"/>
                <c:pt idx="0">
                  <c:v>90</c:v>
                </c:pt>
                <c:pt idx="1">
                  <c:v>60.312433683317</c:v>
                </c:pt>
                <c:pt idx="2">
                  <c:v>31.1333703722561</c:v>
                </c:pt>
                <c:pt idx="3">
                  <c:v>75</c:v>
                </c:pt>
                <c:pt idx="4">
                  <c:v>100</c:v>
                </c:pt>
                <c:pt idx="5">
                  <c:v>62.5459756704829</c:v>
                </c:pt>
                <c:pt idx="6">
                  <c:v>65.0612090432912</c:v>
                </c:pt>
                <c:pt idx="7">
                  <c:v>48.7264050894067</c:v>
                </c:pt>
                <c:pt idx="8">
                  <c:v>23.5892982835077</c:v>
                </c:pt>
                <c:pt idx="9">
                  <c:v>100</c:v>
                </c:pt>
                <c:pt idx="10">
                  <c:v>49.6970221170345</c:v>
                </c:pt>
                <c:pt idx="11">
                  <c:v>72</c:v>
                </c:pt>
                <c:pt idx="12">
                  <c:v>80</c:v>
                </c:pt>
                <c:pt idx="13">
                  <c:v>0</c:v>
                </c:pt>
                <c:pt idx="14">
                  <c:v>100</c:v>
                </c:pt>
                <c:pt idx="15">
                  <c:v>100</c:v>
                </c:pt>
                <c:pt idx="16">
                  <c:v>0</c:v>
                </c:pt>
                <c:pt idx="17">
                  <c:v>100</c:v>
                </c:pt>
                <c:pt idx="18">
                  <c:v>100</c:v>
                </c:pt>
                <c:pt idx="19">
                  <c:v>98.1630305713044</c:v>
                </c:pt>
                <c:pt idx="20">
                  <c:v>86.9565254870434</c:v>
                </c:pt>
                <c:pt idx="21">
                  <c:v>85</c:v>
                </c:pt>
                <c:pt idx="22">
                  <c:v>77.58</c:v>
                </c:pt>
                <c:pt idx="23">
                  <c:v>100</c:v>
                </c:pt>
                <c:pt idx="24">
                  <c:v>100</c:v>
                </c:pt>
                <c:pt idx="25">
                  <c:v>100</c:v>
                </c:pt>
                <c:pt idx="26">
                  <c:v>100</c:v>
                </c:pt>
                <c:pt idx="27">
                  <c:v>100</c:v>
                </c:pt>
                <c:pt idx="28">
                  <c:v>100</c:v>
                </c:pt>
                <c:pt idx="29">
                  <c:v>80</c:v>
                </c:pt>
                <c:pt idx="30">
                  <c:v>35.7346718474978</c:v>
                </c:pt>
                <c:pt idx="31">
                  <c:v>100</c:v>
                </c:pt>
                <c:pt idx="32">
                  <c:v>100</c:v>
                </c:pt>
                <c:pt idx="33">
                  <c:v>77.0220400000002</c:v>
                </c:pt>
                <c:pt idx="34">
                  <c:v>100</c:v>
                </c:pt>
                <c:pt idx="35">
                  <c:v>100</c:v>
                </c:pt>
                <c:pt idx="36">
                  <c:v>67</c:v>
                </c:pt>
                <c:pt idx="37">
                  <c:v>55.8866758007562</c:v>
                </c:pt>
                <c:pt idx="38">
                  <c:v>82.116810753055</c:v>
                </c:pt>
                <c:pt idx="39">
                  <c:v>77.6</c:v>
                </c:pt>
                <c:pt idx="40">
                  <c:v>100</c:v>
                </c:pt>
                <c:pt idx="41">
                  <c:v>84.7719295975578</c:v>
                </c:pt>
                <c:pt idx="42">
                  <c:v>100</c:v>
                </c:pt>
                <c:pt idx="43">
                  <c:v>46.1056899840349</c:v>
                </c:pt>
                <c:pt idx="44">
                  <c:v>0</c:v>
                </c:pt>
              </c:numCache>
            </c:numRef>
          </c:val>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58760704"/>
        <c:crosses val="autoZero"/>
        <c:auto val="1"/>
        <c:lblAlgn val="ctr"/>
        <c:lblOffset val="100"/>
        <c:noMultiLvlLbl val="0"/>
      </c:catAx>
      <c:valAx>
        <c:axId val="258760704"/>
        <c:scaling>
          <c:orientation val="minMax"/>
          <c:max val="100"/>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58660224"/>
        <c:crosses val="autoZero"/>
        <c:crossBetween val="between"/>
        <c:majorUnit val="10"/>
      </c:valAx>
      <c:spPr>
        <a:solidFill>
          <a:srgbClr val="EAEAEA"/>
        </a:solidFill>
        <a:ln w="9525">
          <a:noFill/>
        </a:ln>
        <a:effectLst/>
      </c:spPr>
    </c:plotArea>
    <c:plotVisOnly val="1"/>
    <c:dispBlanksAs val="gap"/>
    <c:showDLblsOverMax val="1"/>
    <c:extLst>
      <c:ext uri="{0b15fc19-7d7d-44ad-8c2d-2c3a37ce22c3}">
        <chartProps xmlns="https://web.wps.cn/et/2018/main" chartId="{62ed1c2e-3d77-47d2-a3be-c964213f53b1}"/>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clustered"/>
        <c:varyColors val="0"/>
        <c:ser>
          <c:idx val="0"/>
          <c:order val="0"/>
          <c:tx>
            <c:strRef>
              <c:f>'Chart PF2.1.A'!$S$8</c:f>
              <c:strCache>
                <c:ptCount val="1"/>
                <c:pt idx="0">
                  <c:v>Length in weeks</c:v>
                </c:pt>
              </c:strCache>
            </c:strRef>
          </c:tx>
          <c:spPr>
            <a:solidFill>
              <a:srgbClr val="002F6C"/>
            </a:solidFill>
            <a:ln w="9525">
              <a:noFill/>
            </a:ln>
            <a:effectLst/>
          </c:spPr>
          <c:invertIfNegative val="0"/>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spPr>
              <a:solidFill>
                <a:srgbClr val="006BB6"/>
              </a:solidFill>
              <a:ln w="9525">
                <a:noFill/>
              </a:ln>
              <a:effectLst/>
            </c:spPr>
          </c:dPt>
          <c:dPt>
            <c:idx val="14"/>
            <c:invertIfNegative val="0"/>
            <c:bubble3D val="0"/>
          </c:dPt>
          <c:dPt>
            <c:idx val="15"/>
            <c:invertIfNegative val="0"/>
            <c:bubble3D val="0"/>
          </c:dPt>
          <c:dPt>
            <c:idx val="16"/>
            <c:invertIfNegative val="0"/>
            <c:bubble3D val="0"/>
            <c:spPr>
              <a:solidFill>
                <a:srgbClr val="006BB6"/>
              </a:solidFill>
              <a:ln w="9525">
                <a:noFill/>
              </a:ln>
              <a:effectLst/>
            </c:spPr>
          </c:dPt>
          <c:dPt>
            <c:idx val="17"/>
            <c:invertIfNegative val="0"/>
            <c:bubble3D val="0"/>
          </c:dPt>
          <c:dPt>
            <c:idx val="18"/>
            <c:invertIfNegative val="0"/>
            <c:bubble3D val="0"/>
          </c:dPt>
          <c:dPt>
            <c:idx val="20"/>
            <c:invertIfNegative val="0"/>
            <c:bubble3D val="0"/>
          </c:dPt>
          <c:dPt>
            <c:idx val="21"/>
            <c:invertIfNegative val="0"/>
            <c:bubble3D val="0"/>
          </c:dPt>
          <c:dLbls>
            <c:delete val="1"/>
          </c:dLbls>
          <c:cat>
            <c:strRef>
              <c:f>'Chart PF2.1.A'!$R$9:$R$53</c:f>
              <c:strCache>
                <c:ptCount val="45"/>
                <c:pt idx="0">
                  <c:v>Bulgaria</c:v>
                </c:pt>
                <c:pt idx="1">
                  <c:v>Greece</c:v>
                </c:pt>
                <c:pt idx="2">
                  <c:v>United Kingdom</c:v>
                </c:pt>
                <c:pt idx="3">
                  <c:v>Slovak Republic</c:v>
                </c:pt>
                <c:pt idx="4">
                  <c:v>Croatia</c:v>
                </c:pt>
                <c:pt idx="5">
                  <c:v>Czechia</c:v>
                </c:pt>
                <c:pt idx="6">
                  <c:v>Iceland</c:v>
                </c:pt>
                <c:pt idx="7">
                  <c:v>New Zealand</c:v>
                </c:pt>
                <c:pt idx="8">
                  <c:v>Ireland</c:v>
                </c:pt>
                <c:pt idx="9">
                  <c:v>Hungary</c:v>
                </c:pt>
                <c:pt idx="10">
                  <c:v>Denmark</c:v>
                </c:pt>
                <c:pt idx="11">
                  <c:v>Cyprus</c:v>
                </c:pt>
                <c:pt idx="12">
                  <c:v>Italy</c:v>
                </c:pt>
                <c:pt idx="13">
                  <c:v>EU average</c:v>
                </c:pt>
                <c:pt idx="14">
                  <c:v>Luxembourg</c:v>
                </c:pt>
                <c:pt idx="15">
                  <c:v>Poland</c:v>
                </c:pt>
                <c:pt idx="16">
                  <c:v>OECD average</c:v>
                </c:pt>
                <c:pt idx="17">
                  <c:v>Chile</c:v>
                </c:pt>
                <c:pt idx="18">
                  <c:v>Colombia</c:v>
                </c:pt>
                <c:pt idx="19">
                  <c:v>Norway</c:v>
                </c:pt>
                <c:pt idx="20">
                  <c:v>Malta</c:v>
                </c:pt>
                <c:pt idx="21">
                  <c:v>Romania</c:v>
                </c:pt>
                <c:pt idx="22">
                  <c:v>Lithuania</c:v>
                </c:pt>
                <c:pt idx="23">
                  <c:v>Costa Rica</c:v>
                </c:pt>
                <c:pt idx="24">
                  <c:v>Austria</c:v>
                </c:pt>
                <c:pt idx="25">
                  <c:v>Netherlands</c:v>
                </c:pt>
                <c:pt idx="26">
                  <c:v>France</c:v>
                </c:pt>
                <c:pt idx="27">
                  <c:v>Türkiye</c:v>
                </c:pt>
                <c:pt idx="28">
                  <c:v>Spain</c:v>
                </c:pt>
                <c:pt idx="29">
                  <c:v>Latvia</c:v>
                </c:pt>
                <c:pt idx="30">
                  <c:v>Canada</c:v>
                </c:pt>
                <c:pt idx="31">
                  <c:v>Israel</c:v>
                </c:pt>
                <c:pt idx="32">
                  <c:v>Slovenia</c:v>
                </c:pt>
                <c:pt idx="33">
                  <c:v>Belgium</c:v>
                </c:pt>
                <c:pt idx="34">
                  <c:v>Estonia</c:v>
                </c:pt>
                <c:pt idx="35">
                  <c:v>Germany</c:v>
                </c:pt>
                <c:pt idx="36">
                  <c:v>Japan</c:v>
                </c:pt>
                <c:pt idx="37">
                  <c:v>Switzerland</c:v>
                </c:pt>
                <c:pt idx="38">
                  <c:v>Korea</c:v>
                </c:pt>
                <c:pt idx="39">
                  <c:v>Sweden</c:v>
                </c:pt>
                <c:pt idx="40">
                  <c:v>Mexico</c:v>
                </c:pt>
                <c:pt idx="41">
                  <c:v>Finland</c:v>
                </c:pt>
                <c:pt idx="42">
                  <c:v>Portugal</c:v>
                </c:pt>
                <c:pt idx="43">
                  <c:v>Australia</c:v>
                </c:pt>
                <c:pt idx="44">
                  <c:v>United States</c:v>
                </c:pt>
              </c:strCache>
            </c:strRef>
          </c:cat>
          <c:val>
            <c:numRef>
              <c:f>'Chart PF2.1.A'!$S$9:$S$53</c:f>
              <c:numCache>
                <c:formatCode>0.0</c:formatCode>
                <c:ptCount val="45"/>
                <c:pt idx="0">
                  <c:v>58.5714285714286</c:v>
                </c:pt>
                <c:pt idx="1">
                  <c:v>56</c:v>
                </c:pt>
                <c:pt idx="2">
                  <c:v>39</c:v>
                </c:pt>
                <c:pt idx="3">
                  <c:v>34</c:v>
                </c:pt>
                <c:pt idx="4">
                  <c:v>30</c:v>
                </c:pt>
                <c:pt idx="5">
                  <c:v>28</c:v>
                </c:pt>
                <c:pt idx="6">
                  <c:v>26</c:v>
                </c:pt>
                <c:pt idx="7">
                  <c:v>26</c:v>
                </c:pt>
                <c:pt idx="8">
                  <c:v>26</c:v>
                </c:pt>
                <c:pt idx="9">
                  <c:v>24</c:v>
                </c:pt>
                <c:pt idx="10">
                  <c:v>22</c:v>
                </c:pt>
                <c:pt idx="11">
                  <c:v>22</c:v>
                </c:pt>
                <c:pt idx="12">
                  <c:v>21.7</c:v>
                </c:pt>
                <c:pt idx="13">
                  <c:v>21.4846031746032</c:v>
                </c:pt>
                <c:pt idx="14">
                  <c:v>20</c:v>
                </c:pt>
                <c:pt idx="15">
                  <c:v>20</c:v>
                </c:pt>
                <c:pt idx="16">
                  <c:v>18.3606131578947</c:v>
                </c:pt>
                <c:pt idx="17">
                  <c:v>18</c:v>
                </c:pt>
                <c:pt idx="18">
                  <c:v>18</c:v>
                </c:pt>
                <c:pt idx="19">
                  <c:v>18</c:v>
                </c:pt>
                <c:pt idx="20">
                  <c:v>18</c:v>
                </c:pt>
                <c:pt idx="21">
                  <c:v>18</c:v>
                </c:pt>
                <c:pt idx="22">
                  <c:v>18</c:v>
                </c:pt>
                <c:pt idx="23">
                  <c:v>17.3333</c:v>
                </c:pt>
                <c:pt idx="24">
                  <c:v>16</c:v>
                </c:pt>
                <c:pt idx="25">
                  <c:v>16</c:v>
                </c:pt>
                <c:pt idx="26">
                  <c:v>16</c:v>
                </c:pt>
                <c:pt idx="27">
                  <c:v>16</c:v>
                </c:pt>
                <c:pt idx="28">
                  <c:v>16</c:v>
                </c:pt>
                <c:pt idx="29">
                  <c:v>16</c:v>
                </c:pt>
                <c:pt idx="30">
                  <c:v>16</c:v>
                </c:pt>
                <c:pt idx="31">
                  <c:v>15</c:v>
                </c:pt>
                <c:pt idx="32">
                  <c:v>15</c:v>
                </c:pt>
                <c:pt idx="33">
                  <c:v>15</c:v>
                </c:pt>
                <c:pt idx="34">
                  <c:v>14.2857142857143</c:v>
                </c:pt>
                <c:pt idx="35">
                  <c:v>14</c:v>
                </c:pt>
                <c:pt idx="36">
                  <c:v>14</c:v>
                </c:pt>
                <c:pt idx="37">
                  <c:v>14</c:v>
                </c:pt>
                <c:pt idx="38">
                  <c:v>12.8571428571429</c:v>
                </c:pt>
                <c:pt idx="39">
                  <c:v>12.8571428571429</c:v>
                </c:pt>
                <c:pt idx="40">
                  <c:v>12</c:v>
                </c:pt>
                <c:pt idx="41">
                  <c:v>6.67</c:v>
                </c:pt>
                <c:pt idx="42">
                  <c:v>6</c:v>
                </c:pt>
                <c:pt idx="43">
                  <c:v>2</c:v>
                </c:pt>
                <c:pt idx="44">
                  <c:v>0</c:v>
                </c:pt>
              </c:numCache>
            </c:numRef>
          </c:val>
        </c:ser>
        <c:dLbls>
          <c:showLegendKey val="0"/>
          <c:showVal val="0"/>
          <c:showCatName val="0"/>
          <c:showSerName val="0"/>
          <c:showPercent val="0"/>
          <c:showBubbleSize val="0"/>
        </c:dLbls>
        <c:gapWidth val="50"/>
        <c:axId val="267817728"/>
        <c:axId val="267819648"/>
      </c:barChart>
      <c:catAx>
        <c:axId val="267817728"/>
        <c:scaling>
          <c:orientation val="maxMin"/>
        </c:scaling>
        <c:delete val="0"/>
        <c:axPos val="r"/>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67819648"/>
        <c:crosses val="autoZero"/>
        <c:auto val="1"/>
        <c:lblAlgn val="ctr"/>
        <c:lblOffset val="100"/>
        <c:noMultiLvlLbl val="0"/>
      </c:catAx>
      <c:valAx>
        <c:axId val="267819648"/>
        <c:scaling>
          <c:orientation val="maxMin"/>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67817728"/>
        <c:crosses val="autoZero"/>
        <c:crossBetween val="between"/>
        <c:majorUnit val="10"/>
      </c:valAx>
      <c:spPr>
        <a:solidFill>
          <a:srgbClr val="EAEAEA"/>
        </a:solidFill>
        <a:ln w="9525">
          <a:noFill/>
        </a:ln>
        <a:effectLst/>
      </c:spPr>
    </c:plotArea>
    <c:plotVisOnly val="1"/>
    <c:dispBlanksAs val="gap"/>
    <c:showDLblsOverMax val="1"/>
    <c:extLst>
      <c:ext uri="{0b15fc19-7d7d-44ad-8c2d-2c3a37ce22c3}">
        <chartProps xmlns="https://web.wps.cn/et/2018/main" chartId="{5214d6c7-ff39-4bbe-b6ed-4f3b742b41bf}"/>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clustered"/>
        <c:varyColors val="0"/>
        <c:ser>
          <c:idx val="0"/>
          <c:order val="0"/>
          <c:tx>
            <c:strRef>
              <c:f>'Chart PF2.1.B'!$T$8</c:f>
              <c:strCache>
                <c:ptCount val="1"/>
                <c:pt idx="0">
                  <c:v>Payment rate (%)</c:v>
                </c:pt>
              </c:strCache>
            </c:strRef>
          </c:tx>
          <c:spPr>
            <a:solidFill>
              <a:srgbClr val="002F6C"/>
            </a:solidFill>
            <a:ln w="9525">
              <a:noFill/>
            </a:ln>
            <a:effectLst/>
          </c:spPr>
          <c:invertIfNegative val="0"/>
          <c:dPt>
            <c:idx val="3"/>
            <c:invertIfNegative val="0"/>
            <c:bubble3D val="0"/>
            <c:spPr>
              <a:pattFill prst="wdUpDiag">
                <a:fgClr>
                  <a:srgbClr val="002060"/>
                </a:fgClr>
                <a:bgClr>
                  <a:srgbClr val="7FA8D9"/>
                </a:bgClr>
              </a:pattFill>
              <a:ln w="9525">
                <a:noFill/>
              </a:ln>
              <a:effectLst/>
            </c:spPr>
          </c:dPt>
          <c:dPt>
            <c:idx val="9"/>
            <c:invertIfNegative val="0"/>
            <c:bubble3D val="0"/>
          </c:dPt>
          <c:dPt>
            <c:idx val="10"/>
            <c:invertIfNegative val="0"/>
            <c:bubble3D val="0"/>
            <c:spPr>
              <a:pattFill prst="wdUpDiag">
                <a:fgClr>
                  <a:srgbClr val="002060"/>
                </a:fgClr>
                <a:bgClr>
                  <a:srgbClr val="7FA8D9"/>
                </a:bgClr>
              </a:pattFill>
              <a:ln w="9525">
                <a:noFill/>
              </a:ln>
              <a:effectLst/>
            </c:spPr>
          </c:dPt>
          <c:dPt>
            <c:idx val="11"/>
            <c:invertIfNegative val="0"/>
            <c:bubble3D val="0"/>
            <c:spPr>
              <a:pattFill prst="wdUpDiag">
                <a:fgClr>
                  <a:srgbClr val="002F6C"/>
                </a:fgClr>
                <a:bgClr>
                  <a:srgbClr val="7FA8D9"/>
                </a:bgClr>
              </a:pattFill>
              <a:ln w="9525">
                <a:noFill/>
              </a:ln>
              <a:effectLst/>
            </c:spPr>
          </c:dPt>
          <c:dPt>
            <c:idx val="12"/>
            <c:invertIfNegative val="0"/>
            <c:bubble3D val="0"/>
            <c:spPr>
              <a:pattFill prst="wdUpDiag">
                <a:fgClr>
                  <a:srgbClr val="002F6C"/>
                </a:fgClr>
                <a:bgClr>
                  <a:srgbClr val="7FA8D9"/>
                </a:bgClr>
              </a:pattFill>
              <a:ln w="9525">
                <a:noFill/>
              </a:ln>
              <a:effectLst/>
            </c:spPr>
          </c:dPt>
          <c:dPt>
            <c:idx val="13"/>
            <c:invertIfNegative val="0"/>
            <c:bubble3D val="0"/>
            <c:spPr>
              <a:pattFill prst="wdUpDiag">
                <a:fgClr>
                  <a:srgbClr val="002F6C"/>
                </a:fgClr>
                <a:bgClr>
                  <a:srgbClr val="002F6C"/>
                </a:bgClr>
              </a:pattFill>
              <a:ln w="9525">
                <a:noFill/>
              </a:ln>
              <a:effectLst/>
            </c:spPr>
          </c:dPt>
          <c:dPt>
            <c:idx val="14"/>
            <c:invertIfNegative val="0"/>
            <c:bubble3D val="0"/>
          </c:dPt>
          <c:dPt>
            <c:idx val="15"/>
            <c:invertIfNegative val="0"/>
            <c:bubble3D val="0"/>
          </c:dPt>
          <c:dPt>
            <c:idx val="16"/>
            <c:invertIfNegative val="0"/>
            <c:bubble3D val="0"/>
          </c:dPt>
          <c:dPt>
            <c:idx val="17"/>
            <c:invertIfNegative val="0"/>
            <c:bubble3D val="0"/>
          </c:dPt>
          <c:dPt>
            <c:idx val="20"/>
            <c:invertIfNegative val="0"/>
            <c:bubble3D val="0"/>
          </c:dPt>
          <c:dPt>
            <c:idx val="21"/>
            <c:invertIfNegative val="0"/>
            <c:bubble3D val="0"/>
          </c:dPt>
          <c:dPt>
            <c:idx val="22"/>
            <c:invertIfNegative val="0"/>
            <c:bubble3D val="0"/>
          </c:dPt>
          <c:dPt>
            <c:idx val="23"/>
            <c:invertIfNegative val="0"/>
            <c:bubble3D val="0"/>
            <c:spPr>
              <a:pattFill prst="wdUpDiag">
                <a:fgClr>
                  <a:srgbClr val="002F6C"/>
                </a:fgClr>
                <a:bgClr>
                  <a:srgbClr val="7FA8D9"/>
                </a:bgClr>
              </a:pattFill>
              <a:ln w="9525">
                <a:noFill/>
              </a:ln>
              <a:effectLst/>
            </c:spPr>
          </c:dPt>
          <c:dPt>
            <c:idx val="24"/>
            <c:invertIfNegative val="0"/>
            <c:bubble3D val="0"/>
          </c:dPt>
          <c:dPt>
            <c:idx val="25"/>
            <c:invertIfNegative val="0"/>
            <c:bubble3D val="0"/>
          </c:dPt>
          <c:dPt>
            <c:idx val="26"/>
            <c:invertIfNegative val="0"/>
            <c:bubble3D val="0"/>
          </c:dPt>
          <c:dPt>
            <c:idx val="27"/>
            <c:invertIfNegative val="0"/>
            <c:bubble3D val="0"/>
          </c:dPt>
          <c:dPt>
            <c:idx val="28"/>
            <c:invertIfNegative val="0"/>
            <c:bubble3D val="0"/>
          </c:dPt>
          <c:dPt>
            <c:idx val="29"/>
            <c:invertIfNegative val="0"/>
            <c:bubble3D val="0"/>
            <c:spPr>
              <a:pattFill prst="wdUpDiag">
                <a:fgClr>
                  <a:srgbClr val="002F6C"/>
                </a:fgClr>
                <a:bgClr>
                  <a:srgbClr val="7FA8D9"/>
                </a:bgClr>
              </a:pattFill>
              <a:ln w="9525">
                <a:noFill/>
              </a:ln>
              <a:effectLst/>
            </c:spPr>
          </c:dPt>
          <c:dPt>
            <c:idx val="30"/>
            <c:invertIfNegative val="0"/>
            <c:bubble3D val="0"/>
          </c:dPt>
          <c:dPt>
            <c:idx val="32"/>
            <c:invertIfNegative val="0"/>
            <c:bubble3D val="0"/>
          </c:dPt>
          <c:dPt>
            <c:idx val="33"/>
            <c:invertIfNegative val="0"/>
            <c:bubble3D val="0"/>
          </c:dPt>
          <c:dPt>
            <c:idx val="34"/>
            <c:invertIfNegative val="0"/>
            <c:bubble3D val="0"/>
          </c:dPt>
          <c:dLbls>
            <c:delete val="1"/>
          </c:dLbls>
          <c:cat>
            <c:strRef>
              <c:f>'Chart PF2.1.B'!$R$9:$R$53</c:f>
              <c:strCache>
                <c:ptCount val="45"/>
                <c:pt idx="0">
                  <c:v>Finland</c:v>
                </c:pt>
                <c:pt idx="1">
                  <c:v>Hungary</c:v>
                </c:pt>
                <c:pt idx="2">
                  <c:v>Slovak Republic</c:v>
                </c:pt>
                <c:pt idx="3">
                  <c:v>Romania</c:v>
                </c:pt>
                <c:pt idx="4">
                  <c:v>Latvia</c:v>
                </c:pt>
                <c:pt idx="5">
                  <c:v>Norway</c:v>
                </c:pt>
                <c:pt idx="6">
                  <c:v>Estonia</c:v>
                </c:pt>
                <c:pt idx="7">
                  <c:v>Lithuania</c:v>
                </c:pt>
                <c:pt idx="8">
                  <c:v>Korea</c:v>
                </c:pt>
                <c:pt idx="9">
                  <c:v>Bulgaria</c:v>
                </c:pt>
                <c:pt idx="10">
                  <c:v>EU average</c:v>
                </c:pt>
                <c:pt idx="11">
                  <c:v>Austria</c:v>
                </c:pt>
                <c:pt idx="12">
                  <c:v>Germany</c:v>
                </c:pt>
                <c:pt idx="13">
                  <c:v>Japan</c:v>
                </c:pt>
                <c:pt idx="14">
                  <c:v>Sweden</c:v>
                </c:pt>
                <c:pt idx="15">
                  <c:v>Czechia</c:v>
                </c:pt>
                <c:pt idx="16">
                  <c:v>Slovenia</c:v>
                </c:pt>
                <c:pt idx="17">
                  <c:v>Canada</c:v>
                </c:pt>
                <c:pt idx="18">
                  <c:v>OECD average</c:v>
                </c:pt>
                <c:pt idx="19">
                  <c:v>Poland</c:v>
                </c:pt>
                <c:pt idx="20">
                  <c:v>Luxembourg</c:v>
                </c:pt>
                <c:pt idx="21">
                  <c:v>Croatia</c:v>
                </c:pt>
                <c:pt idx="22">
                  <c:v>Italy</c:v>
                </c:pt>
                <c:pt idx="23">
                  <c:v>France</c:v>
                </c:pt>
                <c:pt idx="24">
                  <c:v>Greece</c:v>
                </c:pt>
                <c:pt idx="25">
                  <c:v>Portugal</c:v>
                </c:pt>
                <c:pt idx="26">
                  <c:v>Denmark</c:v>
                </c:pt>
                <c:pt idx="27">
                  <c:v>Belgium</c:v>
                </c:pt>
                <c:pt idx="28">
                  <c:v>Australia</c:v>
                </c:pt>
                <c:pt idx="29">
                  <c:v>Chile</c:v>
                </c:pt>
                <c:pt idx="30">
                  <c:v>Netherlands</c:v>
                </c:pt>
                <c:pt idx="31">
                  <c:v>Malta</c:v>
                </c:pt>
                <c:pt idx="32">
                  <c:v>Ireland</c:v>
                </c:pt>
                <c:pt idx="33">
                  <c:v>Iceland</c:v>
                </c:pt>
                <c:pt idx="34">
                  <c:v>Cyprus</c:v>
                </c:pt>
                <c:pt idx="35">
                  <c:v>United Kingdom</c:v>
                </c:pt>
                <c:pt idx="36">
                  <c:v>New Zealand</c:v>
                </c:pt>
                <c:pt idx="37">
                  <c:v>Costa Rica</c:v>
                </c:pt>
                <c:pt idx="38">
                  <c:v>Spain</c:v>
                </c:pt>
                <c:pt idx="39">
                  <c:v>Türkiye</c:v>
                </c:pt>
                <c:pt idx="40">
                  <c:v>Israel</c:v>
                </c:pt>
                <c:pt idx="41">
                  <c:v>Switzerland</c:v>
                </c:pt>
                <c:pt idx="42">
                  <c:v>Mexico</c:v>
                </c:pt>
                <c:pt idx="43">
                  <c:v>United States</c:v>
                </c:pt>
                <c:pt idx="44">
                  <c:v>Colombia</c:v>
                </c:pt>
              </c:strCache>
            </c:strRef>
          </c:cat>
          <c:val>
            <c:numRef>
              <c:f>'Chart PF2.1.B'!$T$9:$T$53</c:f>
              <c:numCache>
                <c:formatCode>0.0</c:formatCode>
                <c:ptCount val="45"/>
                <c:pt idx="0">
                  <c:v>21.8619169398292</c:v>
                </c:pt>
                <c:pt idx="1">
                  <c:v>40.362487709025</c:v>
                </c:pt>
                <c:pt idx="2">
                  <c:v>33.3709373705818</c:v>
                </c:pt>
                <c:pt idx="3">
                  <c:v>85</c:v>
                </c:pt>
                <c:pt idx="4">
                  <c:v>40.8654649904096</c:v>
                </c:pt>
                <c:pt idx="5">
                  <c:v>32.5895770512248</c:v>
                </c:pt>
                <c:pt idx="6">
                  <c:v>100</c:v>
                </c:pt>
                <c:pt idx="7">
                  <c:v>62.4698707534995</c:v>
                </c:pt>
                <c:pt idx="8">
                  <c:v>52.3925421786634</c:v>
                </c:pt>
                <c:pt idx="9">
                  <c:v>39.3875140570503</c:v>
                </c:pt>
                <c:pt idx="10">
                  <c:v>0</c:v>
                </c:pt>
                <c:pt idx="11">
                  <c:v>80</c:v>
                </c:pt>
                <c:pt idx="12">
                  <c:v>65</c:v>
                </c:pt>
                <c:pt idx="13">
                  <c:v>59.9350649350649</c:v>
                </c:pt>
                <c:pt idx="14">
                  <c:v>57.0559084964857</c:v>
                </c:pt>
                <c:pt idx="15">
                  <c:v>86.6027863344096</c:v>
                </c:pt>
                <c:pt idx="16">
                  <c:v>100</c:v>
                </c:pt>
                <c:pt idx="17">
                  <c:v>40.4992947604975</c:v>
                </c:pt>
                <c:pt idx="18">
                  <c:v>0</c:v>
                </c:pt>
                <c:pt idx="19">
                  <c:v>63.4375</c:v>
                </c:pt>
                <c:pt idx="20">
                  <c:v>71.1133603465639</c:v>
                </c:pt>
                <c:pt idx="21">
                  <c:v>67.7540683977247</c:v>
                </c:pt>
                <c:pt idx="22">
                  <c:v>30</c:v>
                </c:pt>
                <c:pt idx="23">
                  <c:v>14.5113669271446</c:v>
                </c:pt>
                <c:pt idx="24">
                  <c:v>79.6532992888791</c:v>
                </c:pt>
                <c:pt idx="25">
                  <c:v>67.6884838442419</c:v>
                </c:pt>
                <c:pt idx="26">
                  <c:v>49.6970221170345</c:v>
                </c:pt>
                <c:pt idx="27">
                  <c:v>20.1941104390291</c:v>
                </c:pt>
                <c:pt idx="28">
                  <c:v>46.1056899840349</c:v>
                </c:pt>
                <c:pt idx="29">
                  <c:v>100</c:v>
                </c:pt>
                <c:pt idx="30">
                  <c:v>70</c:v>
                </c:pt>
                <c:pt idx="31">
                  <c:v>46.1573967228248</c:v>
                </c:pt>
                <c:pt idx="32">
                  <c:v>23.5892982835077</c:v>
                </c:pt>
                <c:pt idx="33">
                  <c:v>65.0612090432912</c:v>
                </c:pt>
                <c:pt idx="34">
                  <c:v>19.3967427783117</c:v>
                </c:pt>
                <c:pt idx="35">
                  <c:v>0</c:v>
                </c:pt>
                <c:pt idx="36">
                  <c:v>0</c:v>
                </c:pt>
                <c:pt idx="37">
                  <c:v>0</c:v>
                </c:pt>
                <c:pt idx="38">
                  <c:v>0</c:v>
                </c:pt>
                <c:pt idx="39">
                  <c:v>0</c:v>
                </c:pt>
                <c:pt idx="40">
                  <c:v>0</c:v>
                </c:pt>
                <c:pt idx="41">
                  <c:v>0</c:v>
                </c:pt>
                <c:pt idx="42">
                  <c:v>0</c:v>
                </c:pt>
                <c:pt idx="43">
                  <c:v>0</c:v>
                </c:pt>
                <c:pt idx="44">
                  <c:v>0</c:v>
                </c:pt>
              </c:numCache>
            </c:numRef>
          </c:val>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58760704"/>
        <c:crosses val="autoZero"/>
        <c:auto val="1"/>
        <c:lblAlgn val="ctr"/>
        <c:lblOffset val="100"/>
        <c:noMultiLvlLbl val="0"/>
      </c:catAx>
      <c:valAx>
        <c:axId val="258760704"/>
        <c:scaling>
          <c:orientation val="minMax"/>
          <c:max val="100"/>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58660224"/>
        <c:crosses val="autoZero"/>
        <c:crossBetween val="between"/>
        <c:majorUnit val="10"/>
      </c:valAx>
      <c:spPr>
        <a:solidFill>
          <a:srgbClr val="EAEAEA"/>
        </a:solidFill>
        <a:ln w="9525">
          <a:noFill/>
        </a:ln>
        <a:effectLst/>
      </c:spPr>
    </c:plotArea>
    <c:plotVisOnly val="1"/>
    <c:dispBlanksAs val="gap"/>
    <c:showDLblsOverMax val="1"/>
    <c:extLst>
      <c:ext uri="{0b15fc19-7d7d-44ad-8c2d-2c3a37ce22c3}">
        <chartProps xmlns="https://web.wps.cn/et/2018/main" chartId="{e977cf41-8450-4cfe-8bd6-80f5ac2f396e}"/>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clustered"/>
        <c:varyColors val="0"/>
        <c:ser>
          <c:idx val="0"/>
          <c:order val="0"/>
          <c:tx>
            <c:strRef>
              <c:f>'Chart PF2.1.B'!$S$8</c:f>
              <c:strCache>
                <c:ptCount val="1"/>
                <c:pt idx="0">
                  <c:v>Length in weeks</c:v>
                </c:pt>
              </c:strCache>
            </c:strRef>
          </c:tx>
          <c:spPr>
            <a:solidFill>
              <a:srgbClr val="002F6C"/>
            </a:solidFill>
            <a:ln w="9525">
              <a:noFill/>
            </a:ln>
            <a:effectLst/>
          </c:spPr>
          <c:invertIfNegative val="0"/>
          <c:dPt>
            <c:idx val="8"/>
            <c:invertIfNegative val="0"/>
            <c:bubble3D val="0"/>
          </c:dPt>
          <c:dPt>
            <c:idx val="10"/>
            <c:invertIfNegative val="0"/>
            <c:bubble3D val="0"/>
            <c:spPr>
              <a:solidFill>
                <a:srgbClr val="006BB6"/>
              </a:solidFill>
              <a:ln w="9525">
                <a:noFill/>
              </a:ln>
              <a:effectLst/>
            </c:spPr>
          </c:dPt>
          <c:dPt>
            <c:idx val="12"/>
            <c:invertIfNegative val="0"/>
            <c:bubble3D val="0"/>
          </c:dPt>
          <c:dPt>
            <c:idx val="13"/>
            <c:invertIfNegative val="0"/>
            <c:bubble3D val="0"/>
          </c:dPt>
          <c:dPt>
            <c:idx val="14"/>
            <c:invertIfNegative val="0"/>
            <c:bubble3D val="0"/>
          </c:dPt>
          <c:dPt>
            <c:idx val="15"/>
            <c:invertIfNegative val="0"/>
            <c:bubble3D val="0"/>
          </c:dPt>
          <c:dPt>
            <c:idx val="16"/>
            <c:invertIfNegative val="0"/>
            <c:bubble3D val="0"/>
          </c:dPt>
          <c:dPt>
            <c:idx val="17"/>
            <c:invertIfNegative val="0"/>
            <c:bubble3D val="0"/>
          </c:dPt>
          <c:dPt>
            <c:idx val="18"/>
            <c:invertIfNegative val="0"/>
            <c:bubble3D val="0"/>
            <c:spPr>
              <a:solidFill>
                <a:srgbClr val="006BB6"/>
              </a:solidFill>
              <a:ln w="9525">
                <a:noFill/>
              </a:ln>
              <a:effectLst/>
            </c:spPr>
          </c:dPt>
          <c:dPt>
            <c:idx val="20"/>
            <c:invertIfNegative val="0"/>
            <c:bubble3D val="0"/>
          </c:dPt>
          <c:dPt>
            <c:idx val="21"/>
            <c:invertIfNegative val="0"/>
            <c:bubble3D val="0"/>
          </c:dPt>
          <c:dLbls>
            <c:delete val="1"/>
          </c:dLbls>
          <c:cat>
            <c:strRef>
              <c:f>'Chart PF2.1.B'!$R$9:$R$53</c:f>
              <c:strCache>
                <c:ptCount val="45"/>
                <c:pt idx="0">
                  <c:v>Finland</c:v>
                </c:pt>
                <c:pt idx="1">
                  <c:v>Hungary</c:v>
                </c:pt>
                <c:pt idx="2">
                  <c:v>Slovak Republic</c:v>
                </c:pt>
                <c:pt idx="3">
                  <c:v>Romania</c:v>
                </c:pt>
                <c:pt idx="4">
                  <c:v>Latvia</c:v>
                </c:pt>
                <c:pt idx="5">
                  <c:v>Norway</c:v>
                </c:pt>
                <c:pt idx="6">
                  <c:v>Estonia</c:v>
                </c:pt>
                <c:pt idx="7">
                  <c:v>Lithuania</c:v>
                </c:pt>
                <c:pt idx="8">
                  <c:v>Korea</c:v>
                </c:pt>
                <c:pt idx="9">
                  <c:v>Bulgaria</c:v>
                </c:pt>
                <c:pt idx="10">
                  <c:v>EU average</c:v>
                </c:pt>
                <c:pt idx="11">
                  <c:v>Austria</c:v>
                </c:pt>
                <c:pt idx="12">
                  <c:v>Germany</c:v>
                </c:pt>
                <c:pt idx="13">
                  <c:v>Japan</c:v>
                </c:pt>
                <c:pt idx="14">
                  <c:v>Sweden</c:v>
                </c:pt>
                <c:pt idx="15">
                  <c:v>Czechia</c:v>
                </c:pt>
                <c:pt idx="16">
                  <c:v>Slovenia</c:v>
                </c:pt>
                <c:pt idx="17">
                  <c:v>Canada</c:v>
                </c:pt>
                <c:pt idx="18">
                  <c:v>OECD average</c:v>
                </c:pt>
                <c:pt idx="19">
                  <c:v>Poland</c:v>
                </c:pt>
                <c:pt idx="20">
                  <c:v>Luxembourg</c:v>
                </c:pt>
                <c:pt idx="21">
                  <c:v>Croatia</c:v>
                </c:pt>
                <c:pt idx="22">
                  <c:v>Italy</c:v>
                </c:pt>
                <c:pt idx="23">
                  <c:v>France</c:v>
                </c:pt>
                <c:pt idx="24">
                  <c:v>Greece</c:v>
                </c:pt>
                <c:pt idx="25">
                  <c:v>Portugal</c:v>
                </c:pt>
                <c:pt idx="26">
                  <c:v>Denmark</c:v>
                </c:pt>
                <c:pt idx="27">
                  <c:v>Belgium</c:v>
                </c:pt>
                <c:pt idx="28">
                  <c:v>Australia</c:v>
                </c:pt>
                <c:pt idx="29">
                  <c:v>Chile</c:v>
                </c:pt>
                <c:pt idx="30">
                  <c:v>Netherlands</c:v>
                </c:pt>
                <c:pt idx="31">
                  <c:v>Malta</c:v>
                </c:pt>
                <c:pt idx="32">
                  <c:v>Ireland</c:v>
                </c:pt>
                <c:pt idx="33">
                  <c:v>Iceland</c:v>
                </c:pt>
                <c:pt idx="34">
                  <c:v>Cyprus</c:v>
                </c:pt>
                <c:pt idx="35">
                  <c:v>United Kingdom</c:v>
                </c:pt>
                <c:pt idx="36">
                  <c:v>New Zealand</c:v>
                </c:pt>
                <c:pt idx="37">
                  <c:v>Costa Rica</c:v>
                </c:pt>
                <c:pt idx="38">
                  <c:v>Spain</c:v>
                </c:pt>
                <c:pt idx="39">
                  <c:v>Türkiye</c:v>
                </c:pt>
                <c:pt idx="40">
                  <c:v>Israel</c:v>
                </c:pt>
                <c:pt idx="41">
                  <c:v>Switzerland</c:v>
                </c:pt>
                <c:pt idx="42">
                  <c:v>Mexico</c:v>
                </c:pt>
                <c:pt idx="43">
                  <c:v>United States</c:v>
                </c:pt>
                <c:pt idx="44">
                  <c:v>Colombia</c:v>
                </c:pt>
              </c:strCache>
            </c:strRef>
          </c:cat>
          <c:val>
            <c:numRef>
              <c:f>'Chart PF2.1.B'!$S$9:$S$53</c:f>
              <c:numCache>
                <c:formatCode>0.0</c:formatCode>
                <c:ptCount val="45"/>
                <c:pt idx="0">
                  <c:v>154.33</c:v>
                </c:pt>
                <c:pt idx="1">
                  <c:v>136</c:v>
                </c:pt>
                <c:pt idx="2">
                  <c:v>130</c:v>
                </c:pt>
                <c:pt idx="3">
                  <c:v>86.33</c:v>
                </c:pt>
                <c:pt idx="4">
                  <c:v>78</c:v>
                </c:pt>
                <c:pt idx="5">
                  <c:v>68</c:v>
                </c:pt>
                <c:pt idx="6">
                  <c:v>67.8571428571429</c:v>
                </c:pt>
                <c:pt idx="7">
                  <c:v>61.66666</c:v>
                </c:pt>
                <c:pt idx="8">
                  <c:v>52</c:v>
                </c:pt>
                <c:pt idx="9">
                  <c:v>51.86</c:v>
                </c:pt>
                <c:pt idx="10">
                  <c:v>45.1817701629801</c:v>
                </c:pt>
                <c:pt idx="11">
                  <c:v>44</c:v>
                </c:pt>
                <c:pt idx="12">
                  <c:v>44</c:v>
                </c:pt>
                <c:pt idx="13">
                  <c:v>44</c:v>
                </c:pt>
                <c:pt idx="14">
                  <c:v>42.8571428571429</c:v>
                </c:pt>
                <c:pt idx="15">
                  <c:v>40.4579882099865</c:v>
                </c:pt>
                <c:pt idx="16">
                  <c:v>37.1428571428571</c:v>
                </c:pt>
                <c:pt idx="17">
                  <c:v>35</c:v>
                </c:pt>
                <c:pt idx="18">
                  <c:v>33.6855735368543</c:v>
                </c:pt>
                <c:pt idx="19">
                  <c:v>32</c:v>
                </c:pt>
                <c:pt idx="20">
                  <c:v>26</c:v>
                </c:pt>
                <c:pt idx="21">
                  <c:v>26</c:v>
                </c:pt>
                <c:pt idx="22">
                  <c:v>26</c:v>
                </c:pt>
                <c:pt idx="23">
                  <c:v>26</c:v>
                </c:pt>
                <c:pt idx="24">
                  <c:v>24.26667</c:v>
                </c:pt>
                <c:pt idx="25">
                  <c:v>24.14</c:v>
                </c:pt>
                <c:pt idx="26">
                  <c:v>19</c:v>
                </c:pt>
                <c:pt idx="27">
                  <c:v>17.3333333333333</c:v>
                </c:pt>
                <c:pt idx="28">
                  <c:v>16</c:v>
                </c:pt>
                <c:pt idx="29">
                  <c:v>12</c:v>
                </c:pt>
                <c:pt idx="30">
                  <c:v>9</c:v>
                </c:pt>
                <c:pt idx="31">
                  <c:v>8.666</c:v>
                </c:pt>
                <c:pt idx="32">
                  <c:v>7</c:v>
                </c:pt>
                <c:pt idx="33">
                  <c:v>6</c:v>
                </c:pt>
                <c:pt idx="34">
                  <c:v>0</c:v>
                </c:pt>
                <c:pt idx="35">
                  <c:v>0</c:v>
                </c:pt>
                <c:pt idx="36">
                  <c:v>0</c:v>
                </c:pt>
                <c:pt idx="37">
                  <c:v>0</c:v>
                </c:pt>
                <c:pt idx="38">
                  <c:v>0</c:v>
                </c:pt>
                <c:pt idx="39">
                  <c:v>0</c:v>
                </c:pt>
                <c:pt idx="40">
                  <c:v>0</c:v>
                </c:pt>
                <c:pt idx="41">
                  <c:v>0</c:v>
                </c:pt>
                <c:pt idx="42">
                  <c:v>0</c:v>
                </c:pt>
                <c:pt idx="43">
                  <c:v>0</c:v>
                </c:pt>
                <c:pt idx="44">
                  <c:v>0</c:v>
                </c:pt>
              </c:numCache>
            </c:numRef>
          </c:val>
        </c:ser>
        <c:dLbls>
          <c:showLegendKey val="0"/>
          <c:showVal val="0"/>
          <c:showCatName val="0"/>
          <c:showSerName val="0"/>
          <c:showPercent val="0"/>
          <c:showBubbleSize val="0"/>
        </c:dLbls>
        <c:gapWidth val="50"/>
        <c:axId val="267817728"/>
        <c:axId val="267819648"/>
      </c:barChart>
      <c:catAx>
        <c:axId val="267817728"/>
        <c:scaling>
          <c:orientation val="maxMin"/>
        </c:scaling>
        <c:delete val="0"/>
        <c:axPos val="r"/>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67819648"/>
        <c:crosses val="autoZero"/>
        <c:auto val="1"/>
        <c:lblAlgn val="ctr"/>
        <c:lblOffset val="100"/>
        <c:noMultiLvlLbl val="0"/>
      </c:catAx>
      <c:valAx>
        <c:axId val="267819648"/>
        <c:scaling>
          <c:orientation val="maxMin"/>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67817728"/>
        <c:crosses val="autoZero"/>
        <c:crossBetween val="between"/>
        <c:majorUnit val="20"/>
      </c:valAx>
      <c:spPr>
        <a:solidFill>
          <a:srgbClr val="EAEAEA"/>
        </a:solidFill>
        <a:ln w="9525">
          <a:noFill/>
        </a:ln>
        <a:effectLst/>
      </c:spPr>
    </c:plotArea>
    <c:plotVisOnly val="1"/>
    <c:dispBlanksAs val="gap"/>
    <c:showDLblsOverMax val="1"/>
    <c:extLst>
      <c:ext uri="{0b15fc19-7d7d-44ad-8c2d-2c3a37ce22c3}">
        <chartProps xmlns="https://web.wps.cn/et/2018/main" chartId="{4228c5d2-1534-4b5c-ab7d-869795b80cc3}"/>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clustered"/>
        <c:varyColors val="0"/>
        <c:ser>
          <c:idx val="0"/>
          <c:order val="0"/>
          <c:tx>
            <c:strRef>
              <c:f>'Chart PF2.1.C'!$U$6</c:f>
              <c:strCache>
                <c:ptCount val="1"/>
                <c:pt idx="0">
                  <c:v>Average payment rate (%) across father-specific leave</c:v>
                </c:pt>
              </c:strCache>
            </c:strRef>
          </c:tx>
          <c:spPr>
            <a:solidFill>
              <a:srgbClr val="002F6C"/>
            </a:solidFill>
            <a:ln w="9525">
              <a:noFill/>
            </a:ln>
            <a:effectLst/>
          </c:spPr>
          <c:invertIfNegative val="0"/>
          <c:dPt>
            <c:idx val="2"/>
            <c:invertIfNegative val="0"/>
            <c:bubble3D val="0"/>
            <c:spPr>
              <a:pattFill prst="wdUpDiag">
                <a:fgClr>
                  <a:srgbClr val="002060"/>
                </a:fgClr>
                <a:bgClr>
                  <a:srgbClr val="7FA8D9"/>
                </a:bgClr>
              </a:pattFill>
              <a:ln w="9525">
                <a:noFill/>
              </a:ln>
              <a:effectLst/>
            </c:spPr>
          </c:dPt>
          <c:dPt>
            <c:idx val="3"/>
            <c:invertIfNegative val="0"/>
            <c:bubble3D val="0"/>
            <c:spPr>
              <a:pattFill prst="wdUpDiag">
                <a:fgClr>
                  <a:srgbClr val="002F6C"/>
                </a:fgClr>
                <a:bgClr>
                  <a:srgbClr val="002F6C"/>
                </a:bgClr>
              </a:pattFill>
              <a:ln w="9525">
                <a:noFill/>
              </a:ln>
              <a:effectLst/>
            </c:spPr>
          </c:dPt>
          <c:dPt>
            <c:idx val="9"/>
            <c:invertIfNegative val="0"/>
            <c:bubble3D val="0"/>
            <c:spPr>
              <a:solidFill>
                <a:srgbClr val="002F6C"/>
              </a:solidFill>
              <a:ln w="9525">
                <a:noFill/>
              </a:ln>
              <a:effectLst/>
            </c:spPr>
          </c:dPt>
          <c:dPt>
            <c:idx val="10"/>
            <c:invertIfNegative val="0"/>
            <c:bubble3D val="0"/>
          </c:dPt>
          <c:dPt>
            <c:idx val="11"/>
            <c:invertIfNegative val="0"/>
            <c:bubble3D val="0"/>
          </c:dPt>
          <c:dPt>
            <c:idx val="13"/>
            <c:invertIfNegative val="0"/>
            <c:bubble3D val="0"/>
            <c:spPr>
              <a:pattFill prst="wdUpDiag">
                <a:fgClr>
                  <a:srgbClr val="002F6C"/>
                </a:fgClr>
                <a:bgClr>
                  <a:srgbClr val="002F6C"/>
                </a:bgClr>
              </a:pattFill>
              <a:ln w="9525">
                <a:noFill/>
              </a:ln>
              <a:effectLst/>
            </c:spPr>
          </c:dPt>
          <c:dPt>
            <c:idx val="14"/>
            <c:invertIfNegative val="0"/>
            <c:bubble3D val="0"/>
            <c:spPr>
              <a:pattFill prst="wdUpDiag">
                <a:fgClr>
                  <a:srgbClr val="002060"/>
                </a:fgClr>
                <a:bgClr>
                  <a:srgbClr val="7FA8D9"/>
                </a:bgClr>
              </a:pattFill>
              <a:ln w="9525">
                <a:noFill/>
              </a:ln>
              <a:effectLst/>
            </c:spPr>
          </c:dPt>
          <c:dPt>
            <c:idx val="15"/>
            <c:invertIfNegative val="0"/>
            <c:bubble3D val="0"/>
            <c:spPr>
              <a:pattFill prst="wdUpDiag">
                <a:fgClr>
                  <a:srgbClr val="002F6C"/>
                </a:fgClr>
                <a:bgClr>
                  <a:srgbClr val="7FA8D9"/>
                </a:bgClr>
              </a:pattFill>
              <a:ln w="9525">
                <a:noFill/>
              </a:ln>
              <a:effectLst/>
            </c:spPr>
          </c:dPt>
          <c:dPt>
            <c:idx val="16"/>
            <c:invertIfNegative val="0"/>
            <c:bubble3D val="0"/>
          </c:dPt>
          <c:dPt>
            <c:idx val="17"/>
            <c:invertIfNegative val="0"/>
            <c:bubble3D val="0"/>
          </c:dPt>
          <c:dPt>
            <c:idx val="19"/>
            <c:invertIfNegative val="0"/>
            <c:bubble3D val="0"/>
            <c:spPr>
              <a:pattFill prst="wdUpDiag">
                <a:fgClr>
                  <a:srgbClr val="002F6C"/>
                </a:fgClr>
                <a:bgClr>
                  <a:srgbClr val="002F6C"/>
                </a:bgClr>
              </a:pattFill>
              <a:ln w="9525">
                <a:noFill/>
              </a:ln>
              <a:effectLst/>
            </c:spPr>
          </c:dPt>
          <c:dPt>
            <c:idx val="20"/>
            <c:invertIfNegative val="0"/>
            <c:bubble3D val="0"/>
          </c:dPt>
          <c:dPt>
            <c:idx val="21"/>
            <c:invertIfNegative val="0"/>
            <c:bubble3D val="0"/>
          </c:dPt>
          <c:dPt>
            <c:idx val="22"/>
            <c:invertIfNegative val="0"/>
            <c:bubble3D val="0"/>
            <c:spPr>
              <a:pattFill prst="wdUpDiag">
                <a:fgClr>
                  <a:srgbClr val="002F6C"/>
                </a:fgClr>
                <a:bgClr>
                  <a:srgbClr val="002F6C"/>
                </a:bgClr>
              </a:pattFill>
              <a:ln w="9525">
                <a:noFill/>
              </a:ln>
              <a:effectLst/>
            </c:spPr>
          </c:dPt>
          <c:dPt>
            <c:idx val="23"/>
            <c:invertIfNegative val="0"/>
            <c:bubble3D val="0"/>
          </c:dPt>
          <c:dPt>
            <c:idx val="24"/>
            <c:invertIfNegative val="0"/>
            <c:bubble3D val="0"/>
            <c:spPr>
              <a:pattFill prst="wdUpDiag">
                <a:fgClr>
                  <a:srgbClr val="002F6C"/>
                </a:fgClr>
                <a:bgClr>
                  <a:srgbClr val="7FA8D9"/>
                </a:bgClr>
              </a:pattFill>
              <a:ln w="9525">
                <a:noFill/>
              </a:ln>
              <a:effectLst/>
            </c:spPr>
          </c:dPt>
          <c:dPt>
            <c:idx val="25"/>
            <c:invertIfNegative val="0"/>
            <c:bubble3D val="0"/>
          </c:dPt>
          <c:dPt>
            <c:idx val="26"/>
            <c:invertIfNegative val="0"/>
            <c:bubble3D val="0"/>
          </c:dPt>
          <c:dPt>
            <c:idx val="28"/>
            <c:invertIfNegative val="0"/>
            <c:bubble3D val="0"/>
            <c:spPr>
              <a:pattFill prst="wdUpDiag">
                <a:fgClr>
                  <a:srgbClr val="002F6C"/>
                </a:fgClr>
                <a:bgClr>
                  <a:srgbClr val="7FA8D9"/>
                </a:bgClr>
              </a:pattFill>
              <a:ln w="9525">
                <a:noFill/>
              </a:ln>
              <a:effectLst/>
            </c:spPr>
          </c:dPt>
          <c:dPt>
            <c:idx val="30"/>
            <c:invertIfNegative val="0"/>
            <c:bubble3D val="0"/>
          </c:dPt>
          <c:dPt>
            <c:idx val="32"/>
            <c:invertIfNegative val="0"/>
            <c:bubble3D val="0"/>
          </c:dPt>
          <c:dPt>
            <c:idx val="33"/>
            <c:invertIfNegative val="0"/>
            <c:bubble3D val="0"/>
          </c:dPt>
          <c:dPt>
            <c:idx val="34"/>
            <c:invertIfNegative val="0"/>
            <c:bubble3D val="0"/>
          </c:dPt>
          <c:dPt>
            <c:idx val="35"/>
            <c:invertIfNegative val="0"/>
            <c:bubble3D val="0"/>
            <c:spPr>
              <a:pattFill prst="wdUpDiag">
                <a:fgClr>
                  <a:srgbClr val="002F6C"/>
                </a:fgClr>
                <a:bgClr>
                  <a:srgbClr val="002F6C"/>
                </a:bgClr>
              </a:pattFill>
              <a:ln w="9525">
                <a:noFill/>
              </a:ln>
              <a:effectLst/>
            </c:spPr>
          </c:dPt>
          <c:dPt>
            <c:idx val="36"/>
            <c:invertIfNegative val="0"/>
            <c:bubble3D val="0"/>
          </c:dPt>
          <c:dPt>
            <c:idx val="37"/>
            <c:invertIfNegative val="0"/>
            <c:bubble3D val="0"/>
            <c:spPr>
              <a:pattFill prst="wdUpDiag">
                <a:fgClr>
                  <a:srgbClr val="002F6C"/>
                </a:fgClr>
                <a:bgClr>
                  <a:srgbClr val="002F6C"/>
                </a:bgClr>
              </a:pattFill>
              <a:ln w="9525">
                <a:noFill/>
              </a:ln>
              <a:effectLst/>
            </c:spPr>
          </c:dPt>
          <c:dPt>
            <c:idx val="39"/>
            <c:invertIfNegative val="0"/>
            <c:bubble3D val="0"/>
          </c:dPt>
          <c:dPt>
            <c:idx val="41"/>
            <c:invertIfNegative val="0"/>
            <c:bubble3D val="0"/>
            <c:spPr>
              <a:pattFill prst="wdUpDiag">
                <a:fgClr>
                  <a:srgbClr val="002F6C"/>
                </a:fgClr>
                <a:bgClr>
                  <a:srgbClr val="7FA8D9"/>
                </a:bgClr>
              </a:pattFill>
              <a:ln w="9525">
                <a:noFill/>
              </a:ln>
              <a:effectLst/>
            </c:spPr>
          </c:dPt>
          <c:dLbls>
            <c:delete val="1"/>
          </c:dLbls>
          <c:cat>
            <c:strRef>
              <c:f>'Chart PF2.1.C'!$R$9:$R$53</c:f>
              <c:strCache>
                <c:ptCount val="45"/>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Italy</c:v>
                </c:pt>
                <c:pt idx="12">
                  <c:v>Netherlands</c:v>
                </c:pt>
                <c:pt idx="13">
                  <c:v>Sweden</c:v>
                </c:pt>
                <c:pt idx="14">
                  <c:v>EU average</c:v>
                </c:pt>
                <c:pt idx="15">
                  <c:v>Austria</c:v>
                </c:pt>
                <c:pt idx="16">
                  <c:v>OECD average</c:v>
                </c:pt>
                <c:pt idx="17">
                  <c:v>Lithuania</c:v>
                </c:pt>
                <c:pt idx="18">
                  <c:v>Greece</c:v>
                </c:pt>
                <c:pt idx="19">
                  <c:v>Poland</c:v>
                </c:pt>
                <c:pt idx="20">
                  <c:v>Denmark</c:v>
                </c:pt>
                <c:pt idx="21">
                  <c:v>Hungary</c:v>
                </c:pt>
                <c:pt idx="22">
                  <c:v>Slovenia</c:v>
                </c:pt>
                <c:pt idx="23">
                  <c:v>Croatia</c:v>
                </c:pt>
                <c:pt idx="24">
                  <c:v>Romania</c:v>
                </c:pt>
                <c:pt idx="25">
                  <c:v>Latvia</c:v>
                </c:pt>
                <c:pt idx="26">
                  <c:v>Malta</c:v>
                </c:pt>
                <c:pt idx="27">
                  <c:v>Ireland</c:v>
                </c:pt>
                <c:pt idx="28">
                  <c:v>Germany</c:v>
                </c:pt>
                <c:pt idx="29">
                  <c:v>Canada</c:v>
                </c:pt>
                <c:pt idx="30">
                  <c:v>Estonia</c:v>
                </c:pt>
                <c:pt idx="31">
                  <c:v>Colombia</c:v>
                </c:pt>
                <c:pt idx="32">
                  <c:v>Bulgaria</c:v>
                </c:pt>
                <c:pt idx="33">
                  <c:v>Cyprus</c:v>
                </c:pt>
                <c:pt idx="34">
                  <c:v>Australia</c:v>
                </c:pt>
                <c:pt idx="35">
                  <c:v>United Kingdom</c:v>
                </c:pt>
                <c:pt idx="36">
                  <c:v>Switzerland</c:v>
                </c:pt>
                <c:pt idx="37">
                  <c:v>Czechia</c:v>
                </c:pt>
                <c:pt idx="38">
                  <c:v>Costa Rica</c:v>
                </c:pt>
                <c:pt idx="39">
                  <c:v>Türkiye</c:v>
                </c:pt>
                <c:pt idx="40">
                  <c:v>Mexico</c:v>
                </c:pt>
                <c:pt idx="41">
                  <c:v>Chile</c:v>
                </c:pt>
                <c:pt idx="42">
                  <c:v>New Zealand</c:v>
                </c:pt>
                <c:pt idx="43">
                  <c:v>Israel</c:v>
                </c:pt>
                <c:pt idx="44">
                  <c:v>United States</c:v>
                </c:pt>
              </c:strCache>
            </c:strRef>
          </c:cat>
          <c:val>
            <c:numRef>
              <c:f>'Chart PF2.1.C'!$U$9:$U$53</c:f>
              <c:numCache>
                <c:formatCode>0.0</c:formatCode>
                <c:ptCount val="45"/>
                <c:pt idx="0">
                  <c:v>54.1557813572315</c:v>
                </c:pt>
                <c:pt idx="1">
                  <c:v>59.7142857142857</c:v>
                </c:pt>
                <c:pt idx="2">
                  <c:v>26.3273298013178</c:v>
                </c:pt>
                <c:pt idx="3">
                  <c:v>73.1766917503807</c:v>
                </c:pt>
                <c:pt idx="4">
                  <c:v>75</c:v>
                </c:pt>
                <c:pt idx="5">
                  <c:v>65</c:v>
                </c:pt>
                <c:pt idx="6">
                  <c:v>31.149056140773</c:v>
                </c:pt>
                <c:pt idx="7">
                  <c:v>68.886337543054</c:v>
                </c:pt>
                <c:pt idx="8">
                  <c:v>65.9976065032642</c:v>
                </c:pt>
                <c:pt idx="9">
                  <c:v>100</c:v>
                </c:pt>
                <c:pt idx="10">
                  <c:v>98.1630305713044</c:v>
                </c:pt>
                <c:pt idx="11">
                  <c:v>39.3333333333333</c:v>
                </c:pt>
                <c:pt idx="12">
                  <c:v>75.6445420903783</c:v>
                </c:pt>
                <c:pt idx="13">
                  <c:v>76.3385341828771</c:v>
                </c:pt>
                <c:pt idx="14">
                  <c:v>0</c:v>
                </c:pt>
                <c:pt idx="15">
                  <c:v>72.2337441724347</c:v>
                </c:pt>
                <c:pt idx="16">
                  <c:v>0</c:v>
                </c:pt>
                <c:pt idx="17">
                  <c:v>77.58</c:v>
                </c:pt>
                <c:pt idx="18">
                  <c:v>56.92822341109</c:v>
                </c:pt>
                <c:pt idx="19">
                  <c:v>75.4545454545455</c:v>
                </c:pt>
                <c:pt idx="20">
                  <c:v>49.6970221170345</c:v>
                </c:pt>
                <c:pt idx="21">
                  <c:v>21.1111111111111</c:v>
                </c:pt>
                <c:pt idx="22">
                  <c:v>100</c:v>
                </c:pt>
                <c:pt idx="23">
                  <c:v>73.8002183615886</c:v>
                </c:pt>
                <c:pt idx="24">
                  <c:v>87.812675792237</c:v>
                </c:pt>
                <c:pt idx="25">
                  <c:v>63.7502343896494</c:v>
                </c:pt>
                <c:pt idx="26">
                  <c:v>59.3755859741234</c:v>
                </c:pt>
                <c:pt idx="27">
                  <c:v>23.5892982835077</c:v>
                </c:pt>
                <c:pt idx="28">
                  <c:v>65.2505019269379</c:v>
                </c:pt>
                <c:pt idx="29">
                  <c:v>40.4992947604975</c:v>
                </c:pt>
                <c:pt idx="30">
                  <c:v>100</c:v>
                </c:pt>
                <c:pt idx="31">
                  <c:v>100</c:v>
                </c:pt>
                <c:pt idx="32">
                  <c:v>90</c:v>
                </c:pt>
                <c:pt idx="33">
                  <c:v>72</c:v>
                </c:pt>
                <c:pt idx="34">
                  <c:v>46.1056899840349</c:v>
                </c:pt>
                <c:pt idx="35">
                  <c:v>20.4303468035754</c:v>
                </c:pt>
                <c:pt idx="36">
                  <c:v>55.8866758007562</c:v>
                </c:pt>
                <c:pt idx="37">
                  <c:v>62.5459756704829</c:v>
                </c:pt>
                <c:pt idx="38">
                  <c:v>100</c:v>
                </c:pt>
                <c:pt idx="39">
                  <c:v>100</c:v>
                </c:pt>
                <c:pt idx="40">
                  <c:v>100</c:v>
                </c:pt>
                <c:pt idx="41">
                  <c:v>100</c:v>
                </c:pt>
                <c:pt idx="42">
                  <c:v>0</c:v>
                </c:pt>
                <c:pt idx="43">
                  <c:v>0</c:v>
                </c:pt>
                <c:pt idx="44">
                  <c:v>0</c:v>
                </c:pt>
              </c:numCache>
            </c:numRef>
          </c:val>
        </c:ser>
        <c:dLbls>
          <c:showLegendKey val="0"/>
          <c:showVal val="0"/>
          <c:showCatName val="0"/>
          <c:showSerName val="0"/>
          <c:showPercent val="0"/>
          <c:showBubbleSize val="0"/>
        </c:dLbls>
        <c:gapWidth val="50"/>
        <c:axId val="258660224"/>
        <c:axId val="258760704"/>
      </c:barChart>
      <c:catAx>
        <c:axId val="258660224"/>
        <c:scaling>
          <c:orientation val="maxMin"/>
        </c:scaling>
        <c:delete val="0"/>
        <c:axPos val="l"/>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58760704"/>
        <c:crosses val="autoZero"/>
        <c:auto val="1"/>
        <c:lblAlgn val="ctr"/>
        <c:lblOffset val="100"/>
        <c:noMultiLvlLbl val="0"/>
      </c:catAx>
      <c:valAx>
        <c:axId val="258760704"/>
        <c:scaling>
          <c:orientation val="minMax"/>
          <c:max val="100"/>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58660224"/>
        <c:crosses val="autoZero"/>
        <c:crossBetween val="between"/>
        <c:majorUnit val="10"/>
      </c:valAx>
      <c:spPr>
        <a:solidFill>
          <a:srgbClr val="EAEAEA"/>
        </a:solidFill>
        <a:ln w="9525">
          <a:noFill/>
        </a:ln>
        <a:effectLst/>
      </c:spPr>
    </c:plotArea>
    <c:plotVisOnly val="1"/>
    <c:dispBlanksAs val="gap"/>
    <c:showDLblsOverMax val="1"/>
    <c:extLst>
      <c:ext uri="{0b15fc19-7d7d-44ad-8c2d-2c3a37ce22c3}">
        <chartProps xmlns="https://web.wps.cn/et/2018/main" chartId="{4012dcf1-c31a-4ba6-8eab-239affedc3d7}"/>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179505173494577"/>
          <c:y val="0.0118292820370955"/>
          <c:w val="0.977561853313178"/>
          <c:h val="0.982256076944357"/>
        </c:manualLayout>
      </c:layout>
      <c:barChart>
        <c:barDir val="bar"/>
        <c:grouping val="stacked"/>
        <c:varyColors val="0"/>
        <c:ser>
          <c:idx val="0"/>
          <c:order val="0"/>
          <c:tx>
            <c:strRef>
              <c:f>'Chart PF2.1.C'!$S$8</c:f>
              <c:strCache>
                <c:ptCount val="1"/>
                <c:pt idx="0">
                  <c:v/>
                </c:pt>
              </c:strCache>
            </c:strRef>
          </c:tx>
          <c:spPr>
            <a:solidFill>
              <a:srgbClr val="7FA8D9"/>
            </a:solidFill>
            <a:ln w="9525">
              <a:noFill/>
            </a:ln>
            <a:effectLst/>
          </c:spPr>
          <c:invertIfNegative val="0"/>
          <c:dPt>
            <c:idx val="8"/>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Pt>
            <c:idx val="14"/>
            <c:invertIfNegative val="0"/>
            <c:bubble3D val="0"/>
            <c:spPr>
              <a:solidFill>
                <a:srgbClr val="83D2E3"/>
              </a:solidFill>
              <a:ln w="9525">
                <a:noFill/>
              </a:ln>
              <a:effectLst/>
            </c:spPr>
          </c:dPt>
          <c:dPt>
            <c:idx val="15"/>
            <c:invertIfNegative val="0"/>
            <c:bubble3D val="0"/>
          </c:dPt>
          <c:dPt>
            <c:idx val="16"/>
            <c:invertIfNegative val="0"/>
            <c:bubble3D val="0"/>
            <c:spPr>
              <a:solidFill>
                <a:srgbClr val="83D2E3"/>
              </a:solidFill>
              <a:ln w="9525">
                <a:noFill/>
              </a:ln>
              <a:effectLst/>
            </c:spPr>
          </c:dPt>
          <c:dPt>
            <c:idx val="17"/>
            <c:invertIfNegative val="0"/>
            <c:bubble3D val="0"/>
          </c:dPt>
          <c:dPt>
            <c:idx val="18"/>
            <c:invertIfNegative val="0"/>
            <c:bubble3D val="0"/>
          </c:dPt>
          <c:dPt>
            <c:idx val="20"/>
            <c:invertIfNegative val="0"/>
            <c:bubble3D val="0"/>
          </c:dPt>
          <c:dPt>
            <c:idx val="21"/>
            <c:invertIfNegative val="0"/>
            <c:bubble3D val="0"/>
          </c:dPt>
          <c:dLbls>
            <c:delete val="1"/>
          </c:dLbls>
          <c:cat>
            <c:strRef>
              <c:f>'Chart PF2.1.C'!$R$9:$R$52</c:f>
              <c:strCache>
                <c:ptCount val="44"/>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Italy</c:v>
                </c:pt>
                <c:pt idx="12">
                  <c:v>Netherlands</c:v>
                </c:pt>
                <c:pt idx="13">
                  <c:v>Sweden</c:v>
                </c:pt>
                <c:pt idx="14">
                  <c:v>EU average</c:v>
                </c:pt>
                <c:pt idx="15">
                  <c:v>Austria</c:v>
                </c:pt>
                <c:pt idx="16">
                  <c:v>OECD average</c:v>
                </c:pt>
                <c:pt idx="17">
                  <c:v>Lithuania</c:v>
                </c:pt>
                <c:pt idx="18">
                  <c:v>Greece</c:v>
                </c:pt>
                <c:pt idx="19">
                  <c:v>Poland</c:v>
                </c:pt>
                <c:pt idx="20">
                  <c:v>Denmark</c:v>
                </c:pt>
                <c:pt idx="21">
                  <c:v>Hungary</c:v>
                </c:pt>
                <c:pt idx="22">
                  <c:v>Slovenia</c:v>
                </c:pt>
                <c:pt idx="23">
                  <c:v>Croatia</c:v>
                </c:pt>
                <c:pt idx="24">
                  <c:v>Romania</c:v>
                </c:pt>
                <c:pt idx="25">
                  <c:v>Latvia</c:v>
                </c:pt>
                <c:pt idx="26">
                  <c:v>Malta</c:v>
                </c:pt>
                <c:pt idx="27">
                  <c:v>Ireland</c:v>
                </c:pt>
                <c:pt idx="28">
                  <c:v>Germany</c:v>
                </c:pt>
                <c:pt idx="29">
                  <c:v>Canada</c:v>
                </c:pt>
                <c:pt idx="30">
                  <c:v>Estonia</c:v>
                </c:pt>
                <c:pt idx="31">
                  <c:v>Colombia</c:v>
                </c:pt>
                <c:pt idx="32">
                  <c:v>Bulgaria</c:v>
                </c:pt>
                <c:pt idx="33">
                  <c:v>Cyprus</c:v>
                </c:pt>
                <c:pt idx="34">
                  <c:v>Australia</c:v>
                </c:pt>
                <c:pt idx="35">
                  <c:v>United Kingdom</c:v>
                </c:pt>
                <c:pt idx="36">
                  <c:v>Switzerland</c:v>
                </c:pt>
                <c:pt idx="37">
                  <c:v>Czechia</c:v>
                </c:pt>
                <c:pt idx="38">
                  <c:v>Costa Rica</c:v>
                </c:pt>
                <c:pt idx="39">
                  <c:v>Türkiye</c:v>
                </c:pt>
                <c:pt idx="40">
                  <c:v>Mexico</c:v>
                </c:pt>
                <c:pt idx="41">
                  <c:v>Chile</c:v>
                </c:pt>
                <c:pt idx="42">
                  <c:v>New Zealand</c:v>
                </c:pt>
                <c:pt idx="43">
                  <c:v>Israel</c:v>
                </c:pt>
              </c:strCache>
            </c:strRef>
          </c:cat>
          <c:val>
            <c:numRef>
              <c:f>'Chart PF2.1.C'!$S$9:$S$52</c:f>
              <c:numCache>
                <c:formatCode>0.0</c:formatCode>
                <c:ptCount val="44"/>
                <c:pt idx="0">
                  <c:v>2</c:v>
                </c:pt>
                <c:pt idx="1">
                  <c:v>4</c:v>
                </c:pt>
                <c:pt idx="2">
                  <c:v>4.17</c:v>
                </c:pt>
                <c:pt idx="3">
                  <c:v>2</c:v>
                </c:pt>
                <c:pt idx="4">
                  <c:v>2</c:v>
                </c:pt>
                <c:pt idx="5">
                  <c:v>5</c:v>
                </c:pt>
                <c:pt idx="6">
                  <c:v>4</c:v>
                </c:pt>
                <c:pt idx="7">
                  <c:v>0</c:v>
                </c:pt>
                <c:pt idx="8">
                  <c:v>3</c:v>
                </c:pt>
                <c:pt idx="9">
                  <c:v>16</c:v>
                </c:pt>
                <c:pt idx="10">
                  <c:v>0</c:v>
                </c:pt>
                <c:pt idx="11">
                  <c:v>2</c:v>
                </c:pt>
                <c:pt idx="12">
                  <c:v>6</c:v>
                </c:pt>
                <c:pt idx="13">
                  <c:v>1.42857142857143</c:v>
                </c:pt>
                <c:pt idx="14">
                  <c:v>3.15925925925926</c:v>
                </c:pt>
                <c:pt idx="15">
                  <c:v>4.33</c:v>
                </c:pt>
                <c:pt idx="16">
                  <c:v>2.43571428571429</c:v>
                </c:pt>
                <c:pt idx="17">
                  <c:v>4</c:v>
                </c:pt>
                <c:pt idx="18">
                  <c:v>2.8</c:v>
                </c:pt>
                <c:pt idx="19">
                  <c:v>2</c:v>
                </c:pt>
                <c:pt idx="20">
                  <c:v>2</c:v>
                </c:pt>
                <c:pt idx="21">
                  <c:v>2</c:v>
                </c:pt>
                <c:pt idx="22">
                  <c:v>2.14285714285714</c:v>
                </c:pt>
                <c:pt idx="23">
                  <c:v>2</c:v>
                </c:pt>
                <c:pt idx="24">
                  <c:v>2</c:v>
                </c:pt>
                <c:pt idx="25">
                  <c:v>2</c:v>
                </c:pt>
                <c:pt idx="26">
                  <c:v>2</c:v>
                </c:pt>
                <c:pt idx="27">
                  <c:v>2</c:v>
                </c:pt>
                <c:pt idx="28">
                  <c:v>0</c:v>
                </c:pt>
                <c:pt idx="29">
                  <c:v>0</c:v>
                </c:pt>
                <c:pt idx="30">
                  <c:v>4.28571428571429</c:v>
                </c:pt>
                <c:pt idx="31">
                  <c:v>2.8</c:v>
                </c:pt>
                <c:pt idx="32">
                  <c:v>2.14285714285714</c:v>
                </c:pt>
                <c:pt idx="33">
                  <c:v>2</c:v>
                </c:pt>
                <c:pt idx="34">
                  <c:v>0</c:v>
                </c:pt>
                <c:pt idx="35">
                  <c:v>2</c:v>
                </c:pt>
                <c:pt idx="36">
                  <c:v>2</c:v>
                </c:pt>
                <c:pt idx="37">
                  <c:v>2</c:v>
                </c:pt>
                <c:pt idx="38">
                  <c:v>1.6</c:v>
                </c:pt>
                <c:pt idx="39">
                  <c:v>1</c:v>
                </c:pt>
                <c:pt idx="40">
                  <c:v>1</c:v>
                </c:pt>
                <c:pt idx="41">
                  <c:v>1</c:v>
                </c:pt>
                <c:pt idx="42">
                  <c:v>0</c:v>
                </c:pt>
                <c:pt idx="43">
                  <c:v>0</c:v>
                </c:pt>
              </c:numCache>
            </c:numRef>
          </c:val>
        </c:ser>
        <c:ser>
          <c:idx val="1"/>
          <c:order val="1"/>
          <c:spPr>
            <a:solidFill>
              <a:srgbClr val="002F6C"/>
            </a:solidFill>
          </c:spPr>
          <c:invertIfNegative val="0"/>
          <c:dPt>
            <c:idx val="11"/>
            <c:invertIfNegative val="0"/>
            <c:bubble3D val="0"/>
          </c:dPt>
          <c:dPt>
            <c:idx val="12"/>
            <c:invertIfNegative val="0"/>
            <c:bubble3D val="0"/>
          </c:dPt>
          <c:dPt>
            <c:idx val="14"/>
            <c:invertIfNegative val="0"/>
            <c:bubble3D val="0"/>
            <c:spPr>
              <a:solidFill>
                <a:srgbClr val="00AACC"/>
              </a:solidFill>
            </c:spPr>
          </c:dPt>
          <c:dPt>
            <c:idx val="15"/>
            <c:invertIfNegative val="0"/>
            <c:bubble3D val="0"/>
          </c:dPt>
          <c:dPt>
            <c:idx val="16"/>
            <c:invertIfNegative val="0"/>
            <c:bubble3D val="0"/>
            <c:spPr>
              <a:solidFill>
                <a:srgbClr val="00AACC"/>
              </a:solidFill>
            </c:spPr>
          </c:dPt>
          <c:dLbls>
            <c:delete val="1"/>
          </c:dLbls>
          <c:val>
            <c:numRef>
              <c:f>'Chart PF2.1.C'!$T$9:$T$53</c:f>
              <c:numCache>
                <c:formatCode>0.0</c:formatCode>
                <c:ptCount val="45"/>
                <c:pt idx="0">
                  <c:v>52</c:v>
                </c:pt>
                <c:pt idx="1">
                  <c:v>48</c:v>
                </c:pt>
                <c:pt idx="2">
                  <c:v>26</c:v>
                </c:pt>
                <c:pt idx="3">
                  <c:v>26</c:v>
                </c:pt>
                <c:pt idx="4">
                  <c:v>26</c:v>
                </c:pt>
                <c:pt idx="5">
                  <c:v>17.2857142857143</c:v>
                </c:pt>
                <c:pt idx="6">
                  <c:v>17.3333333333333</c:v>
                </c:pt>
                <c:pt idx="7">
                  <c:v>20</c:v>
                </c:pt>
                <c:pt idx="8">
                  <c:v>13.166</c:v>
                </c:pt>
                <c:pt idx="9">
                  <c:v>0</c:v>
                </c:pt>
                <c:pt idx="10">
                  <c:v>15</c:v>
                </c:pt>
                <c:pt idx="11">
                  <c:v>13</c:v>
                </c:pt>
                <c:pt idx="12">
                  <c:v>9</c:v>
                </c:pt>
                <c:pt idx="13">
                  <c:v>12.8571428571429</c:v>
                </c:pt>
                <c:pt idx="14">
                  <c:v>10.0868204091711</c:v>
                </c:pt>
                <c:pt idx="15">
                  <c:v>8.666666</c:v>
                </c:pt>
                <c:pt idx="16">
                  <c:v>10.219619764411</c:v>
                </c:pt>
                <c:pt idx="17">
                  <c:v>8.666</c:v>
                </c:pt>
                <c:pt idx="18">
                  <c:v>8.666666</c:v>
                </c:pt>
                <c:pt idx="19">
                  <c:v>9</c:v>
                </c:pt>
                <c:pt idx="20">
                  <c:v>9</c:v>
                </c:pt>
                <c:pt idx="21">
                  <c:v>8.8</c:v>
                </c:pt>
                <c:pt idx="22">
                  <c:v>8.57142857142857</c:v>
                </c:pt>
                <c:pt idx="23">
                  <c:v>8.6666</c:v>
                </c:pt>
                <c:pt idx="24">
                  <c:v>8.666</c:v>
                </c:pt>
                <c:pt idx="25">
                  <c:v>8.666</c:v>
                </c:pt>
                <c:pt idx="26">
                  <c:v>8.666</c:v>
                </c:pt>
                <c:pt idx="27">
                  <c:v>7</c:v>
                </c:pt>
                <c:pt idx="28">
                  <c:v>8.6666</c:v>
                </c:pt>
                <c:pt idx="29">
                  <c:v>5</c:v>
                </c:pt>
                <c:pt idx="30">
                  <c:v>0</c:v>
                </c:pt>
                <c:pt idx="31">
                  <c:v>0</c:v>
                </c:pt>
                <c:pt idx="32">
                  <c:v>0</c:v>
                </c:pt>
                <c:pt idx="33">
                  <c:v>0</c:v>
                </c:pt>
                <c:pt idx="34">
                  <c:v>2</c:v>
                </c:pt>
                <c:pt idx="35">
                  <c:v>0</c:v>
                </c:pt>
                <c:pt idx="36">
                  <c:v>0</c:v>
                </c:pt>
                <c:pt idx="37">
                  <c:v>0</c:v>
                </c:pt>
                <c:pt idx="38">
                  <c:v>0</c:v>
                </c:pt>
                <c:pt idx="39">
                  <c:v>0</c:v>
                </c:pt>
                <c:pt idx="40">
                  <c:v>0</c:v>
                </c:pt>
                <c:pt idx="41">
                  <c:v>0</c:v>
                </c:pt>
                <c:pt idx="42">
                  <c:v>0</c:v>
                </c:pt>
                <c:pt idx="43">
                  <c:v>0</c:v>
                </c:pt>
                <c:pt idx="44">
                  <c:v>0</c:v>
                </c:pt>
              </c:numCache>
            </c:numRef>
          </c:val>
        </c:ser>
        <c:dLbls>
          <c:showLegendKey val="0"/>
          <c:showVal val="0"/>
          <c:showCatName val="0"/>
          <c:showSerName val="0"/>
          <c:showPercent val="0"/>
          <c:showBubbleSize val="0"/>
        </c:dLbls>
        <c:gapWidth val="50"/>
        <c:overlap val="100"/>
        <c:axId val="267817728"/>
        <c:axId val="267819648"/>
      </c:barChart>
      <c:catAx>
        <c:axId val="267817728"/>
        <c:scaling>
          <c:orientation val="maxMin"/>
        </c:scaling>
        <c:delete val="0"/>
        <c:axPos val="r"/>
        <c:majorGridlines>
          <c:spPr>
            <a:ln w="9525" cap="flat" cmpd="sng" algn="ctr">
              <a:solidFill>
                <a:srgbClr val="FFFFFF"/>
              </a:solidFill>
              <a:prstDash val="solid"/>
              <a:round/>
            </a:ln>
          </c:spPr>
        </c:majorGridlines>
        <c:numFmt formatCode="General" sourceLinked="1"/>
        <c:majorTickMark val="in"/>
        <c:minorTickMark val="none"/>
        <c:tickLblPos val="none"/>
        <c:spPr>
          <a:noFill/>
          <a:ln w="9525" cap="flat" cmpd="sng" algn="ctr">
            <a:solidFill>
              <a:srgbClr val="000000"/>
            </a:solidFill>
            <a:prstDash val="solid"/>
            <a:round/>
          </a:ln>
        </c:spPr>
        <c:txPr>
          <a:bodyPr rot="-60000000" spcFirstLastPara="0" vertOverflow="ellipsis" vert="horz" wrap="square" anchor="ctr" anchorCtr="1"/>
          <a:lstStyle/>
          <a:p>
            <a:pPr>
              <a:defRPr lang="zh-HK" sz="1000" b="0" i="0" u="none" strike="noStrike" kern="1200" baseline="0">
                <a:solidFill>
                  <a:srgbClr val="000000"/>
                </a:solidFill>
                <a:latin typeface="Arial" panose="020B0604020202020204"/>
                <a:ea typeface="Arial" panose="020B0604020202020204"/>
                <a:cs typeface="Arial" panose="020B0604020202020204"/>
              </a:defRPr>
            </a:pPr>
          </a:p>
        </c:txPr>
        <c:crossAx val="267819648"/>
        <c:crosses val="autoZero"/>
        <c:auto val="1"/>
        <c:lblAlgn val="ctr"/>
        <c:lblOffset val="100"/>
        <c:noMultiLvlLbl val="0"/>
      </c:catAx>
      <c:valAx>
        <c:axId val="267819648"/>
        <c:scaling>
          <c:orientation val="maxMin"/>
        </c:scaling>
        <c:delete val="0"/>
        <c:axPos val="t"/>
        <c:majorGridlines>
          <c:spPr>
            <a:ln w="9525" cap="flat" cmpd="sng" algn="ctr">
              <a:solidFill>
                <a:srgbClr val="FFFFFF"/>
              </a:solidFill>
              <a:prstDash val="solid"/>
              <a:round/>
            </a:ln>
          </c:spPr>
        </c:majorGridlines>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67817728"/>
        <c:crosses val="autoZero"/>
        <c:crossBetween val="between"/>
      </c:valAx>
      <c:spPr>
        <a:solidFill>
          <a:srgbClr val="EAEAEA"/>
        </a:solidFill>
        <a:ln w="9525">
          <a:noFill/>
        </a:ln>
        <a:effectLst/>
      </c:spPr>
    </c:plotArea>
    <c:plotVisOnly val="1"/>
    <c:dispBlanksAs val="gap"/>
    <c:showDLblsOverMax val="1"/>
    <c:extLst>
      <c:ext uri="{0b15fc19-7d7d-44ad-8c2d-2c3a37ce22c3}">
        <chartProps xmlns="https://web.wps.cn/et/2018/main" chartId="{e2563bbc-8b90-466e-8072-450e98351040}"/>
      </c:ext>
    </c:extLst>
  </c:chart>
  <c:spPr>
    <a:noFill/>
    <a:ln w="9525" cap="flat" cmpd="sng" algn="ctr">
      <a:noFill/>
      <a:prstDash val="solid"/>
      <a:round/>
    </a:ln>
  </c:spPr>
  <c:txPr>
    <a:bodyPr/>
    <a:lstStyle/>
    <a:p>
      <a:pPr>
        <a:defRPr lang="zh-HK" sz="10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00872550439169407"/>
          <c:y val="0.132199261307194"/>
          <c:w val="0.986911743412459"/>
          <c:h val="0.852934174882471"/>
        </c:manualLayout>
      </c:layout>
      <c:barChart>
        <c:barDir val="col"/>
        <c:grouping val="stacked"/>
        <c:varyColors val="0"/>
        <c:ser>
          <c:idx val="0"/>
          <c:order val="0"/>
          <c:tx>
            <c:strRef>
              <c:f>'Chart PF2.1.D'!$O$5:$O$5</c:f>
              <c:strCache>
                <c:ptCount val="1"/>
                <c:pt idx="0">
                  <c:v>Earmarked for mothers</c:v>
                </c:pt>
              </c:strCache>
            </c:strRef>
          </c:tx>
          <c:spPr>
            <a:solidFill>
              <a:srgbClr val="002F6C"/>
            </a:solidFill>
            <a:ln>
              <a:noFill/>
            </a:ln>
            <a:effectLst/>
          </c:spPr>
          <c:invertIfNegative val="0"/>
          <c:dPt>
            <c:idx val="7"/>
            <c:invertIfNegative val="0"/>
            <c:bubble3D val="0"/>
            <c:spPr>
              <a:solidFill>
                <a:srgbClr val="002F6C"/>
              </a:solidFill>
              <a:ln>
                <a:noFill/>
              </a:ln>
              <a:effectLst/>
            </c:spPr>
          </c:dPt>
          <c:dPt>
            <c:idx val="15"/>
            <c:invertIfNegative val="0"/>
            <c:bubble3D val="0"/>
            <c:spPr>
              <a:solidFill>
                <a:srgbClr val="002F6C"/>
              </a:solidFill>
              <a:ln>
                <a:noFill/>
              </a:ln>
              <a:effectLst/>
            </c:spPr>
          </c:dPt>
          <c:dPt>
            <c:idx val="16"/>
            <c:invertIfNegative val="0"/>
            <c:bubble3D val="0"/>
            <c:spPr>
              <a:solidFill>
                <a:srgbClr val="00AACC"/>
              </a:solidFill>
              <a:ln>
                <a:noFill/>
              </a:ln>
              <a:effectLst/>
            </c:spPr>
          </c:dPt>
          <c:dPt>
            <c:idx val="17"/>
            <c:invertIfNegative val="0"/>
            <c:bubble3D val="0"/>
            <c:spPr>
              <a:solidFill>
                <a:srgbClr val="002F6C"/>
              </a:solidFill>
              <a:ln>
                <a:noFill/>
              </a:ln>
              <a:effectLst/>
            </c:spPr>
          </c:dPt>
          <c:dPt>
            <c:idx val="19"/>
            <c:invertIfNegative val="0"/>
            <c:bubble3D val="0"/>
            <c:spPr>
              <a:solidFill>
                <a:srgbClr val="002F6C"/>
              </a:solidFill>
              <a:ln>
                <a:noFill/>
              </a:ln>
              <a:effectLst/>
            </c:spPr>
          </c:dPt>
          <c:dLbls>
            <c:delete val="1"/>
          </c:dLbls>
          <c:cat>
            <c:strRef>
              <c:f>'Chart PF2.1.D'!$N$8:$N$46</c:f>
              <c:strCache>
                <c:ptCount val="39"/>
                <c:pt idx="0">
                  <c:v>Slovak Republic</c:v>
                </c:pt>
                <c:pt idx="1">
                  <c:v>Finland</c:v>
                </c:pt>
                <c:pt idx="2">
                  <c:v>Hungary</c:v>
                </c:pt>
                <c:pt idx="3">
                  <c:v>Korea</c:v>
                </c:pt>
                <c:pt idx="4">
                  <c:v>Latvia</c:v>
                </c:pt>
                <c:pt idx="5">
                  <c:v>Norway</c:v>
                </c:pt>
                <c:pt idx="6">
                  <c:v>Lithuania</c:v>
                </c:pt>
                <c:pt idx="7">
                  <c:v>Greece</c:v>
                </c:pt>
                <c:pt idx="8">
                  <c:v>Estonia</c:v>
                </c:pt>
                <c:pt idx="9">
                  <c:v>Luxembourg</c:v>
                </c:pt>
                <c:pt idx="10">
                  <c:v>Austria</c:v>
                </c:pt>
                <c:pt idx="11">
                  <c:v>France </c:v>
                </c:pt>
                <c:pt idx="12">
                  <c:v>Czechia</c:v>
                </c:pt>
                <c:pt idx="13">
                  <c:v>Sweden</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Colombia</c:v>
                </c:pt>
                <c:pt idx="32">
                  <c:v>Australia</c:v>
                </c:pt>
                <c:pt idx="33">
                  <c:v>Costa Rica</c:v>
                </c:pt>
                <c:pt idx="34">
                  <c:v>Türkiye</c:v>
                </c:pt>
                <c:pt idx="35">
                  <c:v>Switzerland</c:v>
                </c:pt>
                <c:pt idx="36">
                  <c:v>Israel</c:v>
                </c:pt>
                <c:pt idx="37">
                  <c:v>Mexico</c:v>
                </c:pt>
                <c:pt idx="38">
                  <c:v>United States</c:v>
                </c:pt>
              </c:strCache>
            </c:strRef>
          </c:cat>
          <c:val>
            <c:numRef>
              <c:f>('Chart PF2.1.D'!$O$8:$O$22,'Chart PF2.1.D'!$S$23,'Chart PF2.1.D'!$O$24:$O$46)</c:f>
              <c:numCache>
                <c:formatCode>0.0</c:formatCode>
                <c:ptCount val="39"/>
                <c:pt idx="0">
                  <c:v>34</c:v>
                </c:pt>
                <c:pt idx="1">
                  <c:v>22.8366</c:v>
                </c:pt>
                <c:pt idx="2">
                  <c:v>24</c:v>
                </c:pt>
                <c:pt idx="3">
                  <c:v>64.8571428571429</c:v>
                </c:pt>
                <c:pt idx="4">
                  <c:v>24.666</c:v>
                </c:pt>
                <c:pt idx="5">
                  <c:v>18</c:v>
                </c:pt>
                <c:pt idx="6">
                  <c:v>26.666</c:v>
                </c:pt>
                <c:pt idx="7">
                  <c:v>34.3336</c:v>
                </c:pt>
                <c:pt idx="8">
                  <c:v>14.2857142857143</c:v>
                </c:pt>
                <c:pt idx="9">
                  <c:v>46</c:v>
                </c:pt>
                <c:pt idx="10">
                  <c:v>24.666666</c:v>
                </c:pt>
                <c:pt idx="11">
                  <c:v>42</c:v>
                </c:pt>
                <c:pt idx="12">
                  <c:v>28</c:v>
                </c:pt>
                <c:pt idx="13">
                  <c:v>12.8571428571429</c:v>
                </c:pt>
                <c:pt idx="14">
                  <c:v>22.6666</c:v>
                </c:pt>
                <c:pt idx="15" c:formatCode=";;;">
                  <c:v>14</c:v>
                </c:pt>
                <c:pt idx="16">
                  <c:v>25.4222616365915</c:v>
                </c:pt>
                <c:pt idx="17">
                  <c:v>29</c:v>
                </c:pt>
                <c:pt idx="18">
                  <c:v>23.5714285714286</c:v>
                </c:pt>
                <c:pt idx="19">
                  <c:v>34.7</c:v>
                </c:pt>
                <c:pt idx="20">
                  <c:v>21</c:v>
                </c:pt>
                <c:pt idx="21">
                  <c:v>32.3333333333333</c:v>
                </c:pt>
                <c:pt idx="22">
                  <c:v>23.2857142857143</c:v>
                </c:pt>
                <c:pt idx="23">
                  <c:v>15</c:v>
                </c:pt>
                <c:pt idx="24">
                  <c:v>26</c:v>
                </c:pt>
                <c:pt idx="25">
                  <c:v>33</c:v>
                </c:pt>
                <c:pt idx="26">
                  <c:v>39</c:v>
                </c:pt>
                <c:pt idx="27">
                  <c:v>25</c:v>
                </c:pt>
                <c:pt idx="28">
                  <c:v>16</c:v>
                </c:pt>
                <c:pt idx="29">
                  <c:v>30</c:v>
                </c:pt>
                <c:pt idx="30">
                  <c:v>26</c:v>
                </c:pt>
                <c:pt idx="31">
                  <c:v>18</c:v>
                </c:pt>
                <c:pt idx="32">
                  <c:v>2</c:v>
                </c:pt>
                <c:pt idx="33">
                  <c:v>17.32</c:v>
                </c:pt>
                <c:pt idx="34">
                  <c:v>16</c:v>
                </c:pt>
                <c:pt idx="35">
                  <c:v>14</c:v>
                </c:pt>
                <c:pt idx="36">
                  <c:v>15</c:v>
                </c:pt>
                <c:pt idx="37">
                  <c:v>12</c:v>
                </c:pt>
                <c:pt idx="38">
                  <c:v>0</c:v>
                </c:pt>
              </c:numCache>
            </c:numRef>
          </c:val>
        </c:ser>
        <c:ser>
          <c:idx val="1"/>
          <c:order val="1"/>
          <c:tx>
            <c:strRef>
              <c:f>'Chart PF2.1.D'!$P$5:$P$5</c:f>
              <c:strCache>
                <c:ptCount val="1"/>
                <c:pt idx="0">
                  <c:v>Earmarked for fathers</c:v>
                </c:pt>
              </c:strCache>
            </c:strRef>
          </c:tx>
          <c:spPr>
            <a:solidFill>
              <a:srgbClr val="7FA8D9"/>
            </a:solidFill>
            <a:ln>
              <a:noFill/>
            </a:ln>
            <a:effectLst/>
          </c:spPr>
          <c:invertIfNegative val="0"/>
          <c:dPt>
            <c:idx val="15"/>
            <c:invertIfNegative val="0"/>
            <c:bubble3D val="0"/>
            <c:spPr>
              <a:solidFill>
                <a:srgbClr val="7FA8D9"/>
              </a:solidFill>
              <a:ln>
                <a:noFill/>
              </a:ln>
              <a:effectLst/>
            </c:spPr>
          </c:dPt>
          <c:dPt>
            <c:idx val="16"/>
            <c:invertIfNegative val="0"/>
            <c:bubble3D val="0"/>
            <c:spPr>
              <a:solidFill>
                <a:srgbClr val="83D2E3"/>
              </a:solidFill>
              <a:ln>
                <a:noFill/>
              </a:ln>
              <a:effectLst/>
            </c:spPr>
          </c:dPt>
          <c:dPt>
            <c:idx val="17"/>
            <c:invertIfNegative val="0"/>
            <c:bubble3D val="0"/>
            <c:spPr>
              <a:solidFill>
                <a:srgbClr val="7FA8D9"/>
              </a:solidFill>
              <a:ln>
                <a:noFill/>
              </a:ln>
              <a:effectLst/>
            </c:spPr>
          </c:dPt>
          <c:dPt>
            <c:idx val="19"/>
            <c:invertIfNegative val="0"/>
            <c:bubble3D val="0"/>
            <c:spPr>
              <a:solidFill>
                <a:srgbClr val="7FA8D9"/>
              </a:solidFill>
              <a:ln>
                <a:noFill/>
              </a:ln>
              <a:effectLst/>
            </c:spPr>
          </c:dPt>
          <c:dLbls>
            <c:delete val="1"/>
          </c:dLbls>
          <c:cat>
            <c:strRef>
              <c:f>'Chart PF2.1.D'!$N$8:$N$46</c:f>
              <c:strCache>
                <c:ptCount val="39"/>
                <c:pt idx="0">
                  <c:v>Slovak Republic</c:v>
                </c:pt>
                <c:pt idx="1">
                  <c:v>Finland</c:v>
                </c:pt>
                <c:pt idx="2">
                  <c:v>Hungary</c:v>
                </c:pt>
                <c:pt idx="3">
                  <c:v>Korea</c:v>
                </c:pt>
                <c:pt idx="4">
                  <c:v>Latvia</c:v>
                </c:pt>
                <c:pt idx="5">
                  <c:v>Norway</c:v>
                </c:pt>
                <c:pt idx="6">
                  <c:v>Lithuania</c:v>
                </c:pt>
                <c:pt idx="7">
                  <c:v>Greece</c:v>
                </c:pt>
                <c:pt idx="8">
                  <c:v>Estonia</c:v>
                </c:pt>
                <c:pt idx="9">
                  <c:v>Luxembourg</c:v>
                </c:pt>
                <c:pt idx="10">
                  <c:v>Austria</c:v>
                </c:pt>
                <c:pt idx="11">
                  <c:v>France </c:v>
                </c:pt>
                <c:pt idx="12">
                  <c:v>Czechia</c:v>
                </c:pt>
                <c:pt idx="13">
                  <c:v>Sweden</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Colombia</c:v>
                </c:pt>
                <c:pt idx="32">
                  <c:v>Australia</c:v>
                </c:pt>
                <c:pt idx="33">
                  <c:v>Costa Rica</c:v>
                </c:pt>
                <c:pt idx="34">
                  <c:v>Türkiye</c:v>
                </c:pt>
                <c:pt idx="35">
                  <c:v>Switzerland</c:v>
                </c:pt>
                <c:pt idx="36">
                  <c:v>Israel</c:v>
                </c:pt>
                <c:pt idx="37">
                  <c:v>Mexico</c:v>
                </c:pt>
                <c:pt idx="38">
                  <c:v>United States</c:v>
                </c:pt>
              </c:strCache>
            </c:strRef>
          </c:cat>
          <c:val>
            <c:numRef>
              <c:f>('Chart PF2.1.D'!$P$8:$P$22,'Chart PF2.1.D'!$T$23,'Chart PF2.1.D'!$P$24:$P$46)</c:f>
              <c:numCache>
                <c:formatCode>0.0</c:formatCode>
                <c:ptCount val="39"/>
                <c:pt idx="0">
                  <c:v>28</c:v>
                </c:pt>
                <c:pt idx="1">
                  <c:v>16.1666</c:v>
                </c:pt>
                <c:pt idx="2">
                  <c:v>10.8</c:v>
                </c:pt>
                <c:pt idx="3">
                  <c:v>54</c:v>
                </c:pt>
                <c:pt idx="4">
                  <c:v>10.666</c:v>
                </c:pt>
                <c:pt idx="5">
                  <c:v>15</c:v>
                </c:pt>
                <c:pt idx="6">
                  <c:v>12.666</c:v>
                </c:pt>
                <c:pt idx="7">
                  <c:v>11.4666</c:v>
                </c:pt>
                <c:pt idx="8">
                  <c:v>4.28571428571429</c:v>
                </c:pt>
                <c:pt idx="9">
                  <c:v>28</c:v>
                </c:pt>
                <c:pt idx="10">
                  <c:v>12.996666</c:v>
                </c:pt>
                <c:pt idx="11">
                  <c:v>30.17</c:v>
                </c:pt>
                <c:pt idx="12">
                  <c:v>2</c:v>
                </c:pt>
                <c:pt idx="13">
                  <c:v>14.2857142857143</c:v>
                </c:pt>
                <c:pt idx="14">
                  <c:v>8.7</c:v>
                </c:pt>
                <c:pt idx="15" c:formatCode=";;;">
                  <c:v>8</c:v>
                </c:pt>
                <c:pt idx="16">
                  <c:v>12.6562182781955</c:v>
                </c:pt>
                <c:pt idx="17">
                  <c:v>11</c:v>
                </c:pt>
                <c:pt idx="18">
                  <c:v>10.7142857142857</c:v>
                </c:pt>
                <c:pt idx="19">
                  <c:v>15</c:v>
                </c:pt>
                <c:pt idx="20">
                  <c:v>5</c:v>
                </c:pt>
                <c:pt idx="21">
                  <c:v>21.333</c:v>
                </c:pt>
                <c:pt idx="22">
                  <c:v>22.2857142857143</c:v>
                </c:pt>
                <c:pt idx="23">
                  <c:v>11</c:v>
                </c:pt>
                <c:pt idx="24">
                  <c:v>20</c:v>
                </c:pt>
                <c:pt idx="25">
                  <c:v>9</c:v>
                </c:pt>
                <c:pt idx="26">
                  <c:v>2</c:v>
                </c:pt>
                <c:pt idx="27">
                  <c:v>15</c:v>
                </c:pt>
                <c:pt idx="28">
                  <c:v>16</c:v>
                </c:pt>
                <c:pt idx="29">
                  <c:v>1</c:v>
                </c:pt>
                <c:pt idx="30">
                  <c:v>0</c:v>
                </c:pt>
                <c:pt idx="31">
                  <c:v>2.8</c:v>
                </c:pt>
                <c:pt idx="32">
                  <c:v>2</c:v>
                </c:pt>
                <c:pt idx="33">
                  <c:v>1.6</c:v>
                </c:pt>
                <c:pt idx="34">
                  <c:v>1</c:v>
                </c:pt>
                <c:pt idx="35">
                  <c:v>2</c:v>
                </c:pt>
                <c:pt idx="36">
                  <c:v>0</c:v>
                </c:pt>
                <c:pt idx="37">
                  <c:v>1</c:v>
                </c:pt>
                <c:pt idx="38">
                  <c:v>0</c:v>
                </c:pt>
              </c:numCache>
            </c:numRef>
          </c:val>
        </c:ser>
        <c:ser>
          <c:idx val="2"/>
          <c:order val="2"/>
          <c:tx>
            <c:strRef>
              <c:f>'Chart PF2.1.D'!$Q$5:$Q$5</c:f>
              <c:strCache>
                <c:ptCount val="1"/>
                <c:pt idx="0">
                  <c:v>Shareable (most often taken by mothers)</c:v>
                </c:pt>
              </c:strCache>
            </c:strRef>
          </c:tx>
          <c:spPr>
            <a:solidFill>
              <a:srgbClr val="006BB6"/>
            </a:solidFill>
            <a:ln>
              <a:noFill/>
            </a:ln>
            <a:effectLst/>
          </c:spPr>
          <c:invertIfNegative val="0"/>
          <c:dPt>
            <c:idx val="13"/>
            <c:invertIfNegative val="0"/>
            <c:bubble3D val="0"/>
            <c:spPr>
              <a:solidFill>
                <a:srgbClr val="006BB6"/>
              </a:solidFill>
              <a:ln>
                <a:noFill/>
              </a:ln>
              <a:effectLst/>
            </c:spPr>
          </c:dPt>
          <c:dPt>
            <c:idx val="14"/>
            <c:invertIfNegative val="0"/>
            <c:bubble3D val="0"/>
            <c:spPr>
              <a:solidFill>
                <a:srgbClr val="006BB6"/>
              </a:solidFill>
              <a:ln>
                <a:noFill/>
              </a:ln>
              <a:effectLst/>
            </c:spPr>
          </c:dPt>
          <c:dPt>
            <c:idx val="15"/>
            <c:invertIfNegative val="0"/>
            <c:bubble3D val="0"/>
            <c:spPr>
              <a:pattFill prst="dkUpDiag">
                <a:fgClr>
                  <a:schemeClr val="tx1"/>
                </a:fgClr>
                <a:bgClr>
                  <a:srgbClr val="006BB6"/>
                </a:bgClr>
              </a:pattFill>
              <a:ln>
                <a:noFill/>
              </a:ln>
              <a:effectLst/>
            </c:spPr>
          </c:dPt>
          <c:dPt>
            <c:idx val="16"/>
            <c:invertIfNegative val="0"/>
            <c:bubble3D val="0"/>
            <c:spPr>
              <a:solidFill>
                <a:srgbClr val="53B7E8"/>
              </a:solidFill>
              <a:ln>
                <a:noFill/>
              </a:ln>
              <a:effectLst/>
            </c:spPr>
          </c:dPt>
          <c:dPt>
            <c:idx val="17"/>
            <c:invertIfNegative val="0"/>
            <c:bubble3D val="0"/>
            <c:spPr>
              <a:solidFill>
                <a:srgbClr val="006BB6"/>
              </a:solidFill>
              <a:ln>
                <a:noFill/>
              </a:ln>
              <a:effectLst/>
            </c:spPr>
          </c:dPt>
          <c:dPt>
            <c:idx val="19"/>
            <c:invertIfNegative val="0"/>
            <c:bubble3D val="0"/>
            <c:spPr>
              <a:solidFill>
                <a:srgbClr val="006BB6"/>
              </a:solidFill>
              <a:ln>
                <a:noFill/>
              </a:ln>
              <a:effectLst/>
            </c:spPr>
          </c:dPt>
          <c:dLbls>
            <c:delete val="1"/>
          </c:dLbls>
          <c:cat>
            <c:strRef>
              <c:f>'Chart PF2.1.D'!$N$8:$N$46</c:f>
              <c:strCache>
                <c:ptCount val="39"/>
                <c:pt idx="0">
                  <c:v>Slovak Republic</c:v>
                </c:pt>
                <c:pt idx="1">
                  <c:v>Finland</c:v>
                </c:pt>
                <c:pt idx="2">
                  <c:v>Hungary</c:v>
                </c:pt>
                <c:pt idx="3">
                  <c:v>Korea</c:v>
                </c:pt>
                <c:pt idx="4">
                  <c:v>Latvia</c:v>
                </c:pt>
                <c:pt idx="5">
                  <c:v>Norway</c:v>
                </c:pt>
                <c:pt idx="6">
                  <c:v>Lithuania</c:v>
                </c:pt>
                <c:pt idx="7">
                  <c:v>Greece</c:v>
                </c:pt>
                <c:pt idx="8">
                  <c:v>Estonia</c:v>
                </c:pt>
                <c:pt idx="9">
                  <c:v>Luxembourg</c:v>
                </c:pt>
                <c:pt idx="10">
                  <c:v>Austria</c:v>
                </c:pt>
                <c:pt idx="11">
                  <c:v>France </c:v>
                </c:pt>
                <c:pt idx="12">
                  <c:v>Czechia</c:v>
                </c:pt>
                <c:pt idx="13">
                  <c:v>Sweden</c:v>
                </c:pt>
                <c:pt idx="14">
                  <c:v>Germany</c:v>
                </c:pt>
                <c:pt idx="15">
                  <c:v>Japan</c:v>
                </c:pt>
                <c:pt idx="16">
                  <c:v>OECD Average</c:v>
                </c:pt>
                <c:pt idx="17">
                  <c:v>Poland</c:v>
                </c:pt>
                <c:pt idx="18">
                  <c:v>Slovenia</c:v>
                </c:pt>
                <c:pt idx="19">
                  <c:v>Italy</c:v>
                </c:pt>
                <c:pt idx="20">
                  <c:v>Canada</c:v>
                </c:pt>
                <c:pt idx="21">
                  <c:v>Belgium</c:v>
                </c:pt>
                <c:pt idx="22">
                  <c:v>Portugal</c:v>
                </c:pt>
                <c:pt idx="23">
                  <c:v>Denmark</c:v>
                </c:pt>
                <c:pt idx="24">
                  <c:v>Iceland</c:v>
                </c:pt>
                <c:pt idx="25">
                  <c:v>Ireland</c:v>
                </c:pt>
                <c:pt idx="26">
                  <c:v>United Kingdom</c:v>
                </c:pt>
                <c:pt idx="27">
                  <c:v>Netherlands</c:v>
                </c:pt>
                <c:pt idx="28">
                  <c:v>Spain</c:v>
                </c:pt>
                <c:pt idx="29">
                  <c:v>Chile</c:v>
                </c:pt>
                <c:pt idx="30">
                  <c:v>New Zealand</c:v>
                </c:pt>
                <c:pt idx="31">
                  <c:v>Colombia</c:v>
                </c:pt>
                <c:pt idx="32">
                  <c:v>Australia</c:v>
                </c:pt>
                <c:pt idx="33">
                  <c:v>Costa Rica</c:v>
                </c:pt>
                <c:pt idx="34">
                  <c:v>Türkiye</c:v>
                </c:pt>
                <c:pt idx="35">
                  <c:v>Switzerland</c:v>
                </c:pt>
                <c:pt idx="36">
                  <c:v>Israel</c:v>
                </c:pt>
                <c:pt idx="37">
                  <c:v>Mexico</c:v>
                </c:pt>
                <c:pt idx="38">
                  <c:v>United States</c:v>
                </c:pt>
              </c:strCache>
            </c:strRef>
          </c:cat>
          <c:val>
            <c:numRef>
              <c:f>('Chart PF2.1.D'!$Q$8:$Q$22,'Chart PF2.1.D'!$U$23,'Chart PF2.1.D'!$Q$24:$Q$46)</c:f>
              <c:numCache>
                <c:formatCode>0.0</c:formatCode>
                <c:ptCount val="39"/>
                <c:pt idx="0">
                  <c:v>130</c:v>
                </c:pt>
                <c:pt idx="1">
                  <c:v>138.16666</c:v>
                </c:pt>
                <c:pt idx="2">
                  <c:v>136</c:v>
                </c:pt>
                <c:pt idx="3">
                  <c:v>0</c:v>
                </c:pt>
                <c:pt idx="4">
                  <c:v>69.333</c:v>
                </c:pt>
                <c:pt idx="5">
                  <c:v>68</c:v>
                </c:pt>
                <c:pt idx="6">
                  <c:v>52.6666</c:v>
                </c:pt>
                <c:pt idx="7">
                  <c:v>45.9333</c:v>
                </c:pt>
                <c:pt idx="8">
                  <c:v>67.8571428571429</c:v>
                </c:pt>
                <c:pt idx="9">
                  <c:v>0</c:v>
                </c:pt>
                <c:pt idx="10">
                  <c:v>35.33</c:v>
                </c:pt>
                <c:pt idx="11">
                  <c:v>0</c:v>
                </c:pt>
                <c:pt idx="12">
                  <c:v>40.4579882099865</c:v>
                </c:pt>
                <c:pt idx="13">
                  <c:v>42.8571428571429</c:v>
                </c:pt>
                <c:pt idx="14">
                  <c:v>35.3334</c:v>
                </c:pt>
                <c:pt idx="15" c:formatCode=";;;">
                  <c:v>44</c:v>
                </c:pt>
                <c:pt idx="16">
                  <c:v>26.6147617949996</c:v>
                </c:pt>
                <c:pt idx="17">
                  <c:v>23</c:v>
                </c:pt>
                <c:pt idx="18">
                  <c:v>28.5714285714286</c:v>
                </c:pt>
                <c:pt idx="19">
                  <c:v>13</c:v>
                </c:pt>
                <c:pt idx="20">
                  <c:v>30</c:v>
                </c:pt>
                <c:pt idx="21">
                  <c:v>0</c:v>
                </c:pt>
                <c:pt idx="22">
                  <c:v>6.8542857142857</c:v>
                </c:pt>
                <c:pt idx="23">
                  <c:v>26</c:v>
                </c:pt>
                <c:pt idx="24">
                  <c:v>6</c:v>
                </c:pt>
                <c:pt idx="25">
                  <c:v>0</c:v>
                </c:pt>
                <c:pt idx="26">
                  <c:v>0</c:v>
                </c:pt>
                <c:pt idx="27">
                  <c:v>0</c:v>
                </c:pt>
                <c:pt idx="28">
                  <c:v>0</c:v>
                </c:pt>
                <c:pt idx="29">
                  <c:v>0</c:v>
                </c:pt>
                <c:pt idx="30">
                  <c:v>0</c:v>
                </c:pt>
                <c:pt idx="31">
                  <c:v>0</c:v>
                </c:pt>
                <c:pt idx="32">
                  <c:v>16</c:v>
                </c:pt>
                <c:pt idx="33">
                  <c:v>0</c:v>
                </c:pt>
                <c:pt idx="34">
                  <c:v>0</c:v>
                </c:pt>
                <c:pt idx="35">
                  <c:v>0</c:v>
                </c:pt>
                <c:pt idx="36">
                  <c:v>0</c:v>
                </c:pt>
                <c:pt idx="37">
                  <c:v>0</c:v>
                </c:pt>
                <c:pt idx="38">
                  <c:v>0</c:v>
                </c:pt>
              </c:numCache>
            </c:numRef>
          </c:val>
        </c:ser>
        <c:dLbls>
          <c:showLegendKey val="0"/>
          <c:showVal val="0"/>
          <c:showCatName val="0"/>
          <c:showSerName val="0"/>
          <c:showPercent val="0"/>
          <c:showBubbleSize val="0"/>
        </c:dLbls>
        <c:gapWidth val="150"/>
        <c:overlap val="100"/>
        <c:axId val="967891600"/>
        <c:axId val="967893896"/>
      </c:barChart>
      <c:catAx>
        <c:axId val="96789160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c:spPr>
        <c:txPr>
          <a:bodyPr rot="-2700000" spcFirstLastPara="1"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967893896"/>
        <c:crosses val="autoZero"/>
        <c:auto val="1"/>
        <c:lblAlgn val="ctr"/>
        <c:lblOffset val="0"/>
        <c:tickLblSkip val="1"/>
        <c:noMultiLvlLbl val="0"/>
      </c:catAx>
      <c:valAx>
        <c:axId val="967893896"/>
        <c:scaling>
          <c:orientation val="minMax"/>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c:spPr>
        <c:txPr>
          <a:bodyPr rot="-60000000" spcFirstLastPara="1"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967891600"/>
        <c:crosses val="autoZero"/>
        <c:crossBetween val="between"/>
      </c:valAx>
      <c:spPr>
        <a:solidFill>
          <a:srgbClr val="EAEAEA"/>
        </a:solidFill>
        <a:ln>
          <a:noFill/>
        </a:ln>
        <a:effectLst/>
      </c:spPr>
    </c:plotArea>
    <c:legend>
      <c:legendPos val="b"/>
      <c:layout>
        <c:manualLayout>
          <c:xMode val="edge"/>
          <c:yMode val="edge"/>
          <c:x val="0.0486718253634954"/>
          <c:y val="0.0198220850804472"/>
          <c:w val="0.933426634396041"/>
          <c:h val="0.0743328190516771"/>
        </c:manualLayout>
      </c:layout>
      <c:overlay val="1"/>
      <c:spPr>
        <a:solidFill>
          <a:srgbClr val="EAEAEA"/>
        </a:solidFill>
        <a:ln>
          <a:noFill/>
        </a:ln>
        <a:effectLst/>
      </c:spPr>
      <c:txPr>
        <a:bodyPr rot="0" spcFirstLastPara="1"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legend>
    <c:plotVisOnly val="1"/>
    <c:dispBlanksAs val="zero"/>
    <c:showDLblsOverMax val="1"/>
    <c:extLst>
      <c:ext uri="{0b15fc19-7d7d-44ad-8c2d-2c3a37ce22c3}">
        <chartProps xmlns="https://web.wps.cn/et/2018/main" chartId="{1f0a0a71-7d16-4907-9588-5ea57b74f987}"/>
      </c:ext>
    </c:extLst>
  </c:chart>
  <c:spPr>
    <a:noFill/>
    <a:ln w="9525" cap="flat" cmpd="sng" algn="ctr">
      <a:noFill/>
      <a:round/>
    </a:ln>
    <a:effectLst/>
  </c:spPr>
  <c:txPr>
    <a:bodyPr/>
    <a:lstStyle/>
    <a:p>
      <a:pPr>
        <a:defRPr lang="zh-HK"/>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xMode val="edge"/>
          <c:yMode val="edge"/>
          <c:x val="0.00874457960863875"/>
          <c:y val="0.125011274076526"/>
          <c:w val="0.989069275489202"/>
          <c:h val="0.86502832440165"/>
        </c:manualLayout>
      </c:layout>
      <c:barChart>
        <c:barDir val="col"/>
        <c:grouping val="stacked"/>
        <c:varyColors val="0"/>
        <c:ser>
          <c:idx val="1"/>
          <c:order val="0"/>
          <c:tx>
            <c:strRef>
              <c:f>'Chart PF2.1.E'!$M$6</c:f>
              <c:strCache>
                <c:ptCount val="1"/>
                <c:pt idx="0">
                  <c:v>2021</c:v>
                </c:pt>
              </c:strCache>
            </c:strRef>
          </c:tx>
          <c:spPr>
            <a:solidFill>
              <a:srgbClr val="002F6C"/>
            </a:solidFill>
            <a:ln w="3175">
              <a:noFill/>
              <a:prstDash val="solid"/>
            </a:ln>
            <a:effectLst/>
          </c:spPr>
          <c:invertIfNegative val="0"/>
          <c:dPt>
            <c:idx val="10"/>
            <c:invertIfNegative val="0"/>
            <c:bubble3D val="0"/>
          </c:dPt>
          <c:dPt>
            <c:idx val="11"/>
            <c:invertIfNegative val="0"/>
            <c:bubble3D val="0"/>
          </c:dPt>
          <c:dPt>
            <c:idx val="12"/>
            <c:invertIfNegative val="0"/>
            <c:bubble3D val="0"/>
          </c:dPt>
          <c:dPt>
            <c:idx val="14"/>
            <c:invertIfNegative val="0"/>
            <c:bubble3D val="0"/>
            <c:spPr>
              <a:solidFill>
                <a:srgbClr val="006BB6"/>
              </a:solidFill>
              <a:ln w="3175">
                <a:noFill/>
                <a:prstDash val="solid"/>
              </a:ln>
              <a:effectLst/>
            </c:spPr>
          </c:dPt>
          <c:dPt>
            <c:idx val="16"/>
            <c:invertIfNegative val="0"/>
            <c:bubble3D val="0"/>
          </c:dPt>
          <c:dPt>
            <c:idx val="20"/>
            <c:invertIfNegative val="0"/>
            <c:bubble3D val="0"/>
          </c:dPt>
          <c:dPt>
            <c:idx val="29"/>
            <c:invertIfNegative val="0"/>
            <c:bubble3D val="0"/>
          </c:dPt>
          <c:dLbls>
            <c:delete val="1"/>
          </c:dLbls>
          <c:cat>
            <c:strRef>
              <c:f>'Chart PF2.1.E'!$L$7:$L$42</c:f>
              <c:strCache>
                <c:ptCount val="36"/>
                <c:pt idx="0">
                  <c:v>Luxembourg</c:v>
                </c:pt>
                <c:pt idx="1">
                  <c:v>Estonia</c:v>
                </c:pt>
                <c:pt idx="2">
                  <c:v>Norway</c:v>
                </c:pt>
                <c:pt idx="3">
                  <c:v>Lithuania</c:v>
                </c:pt>
                <c:pt idx="4">
                  <c:v>Slovak Republic</c:v>
                </c:pt>
                <c:pt idx="5">
                  <c:v>Sweden</c:v>
                </c:pt>
                <c:pt idx="6">
                  <c:v>Czechia</c:v>
                </c:pt>
                <c:pt idx="7">
                  <c:v>Finland</c:v>
                </c:pt>
                <c:pt idx="8">
                  <c:v>Slovenia</c:v>
                </c:pt>
                <c:pt idx="9">
                  <c:v>Denmark</c:v>
                </c:pt>
                <c:pt idx="10">
                  <c:v>Hungary</c:v>
                </c:pt>
                <c:pt idx="11">
                  <c:v>Latvia</c:v>
                </c:pt>
                <c:pt idx="12">
                  <c:v>Iceland</c:v>
                </c:pt>
                <c:pt idx="13">
                  <c:v>Poland</c:v>
                </c:pt>
                <c:pt idx="14">
                  <c:v>OECD-35 average </c:v>
                </c:pt>
                <c:pt idx="15">
                  <c:v>Spain</c:v>
                </c:pt>
                <c:pt idx="16">
                  <c:v>Portugal</c:v>
                </c:pt>
                <c:pt idx="17">
                  <c:v>Canada</c:v>
                </c:pt>
                <c:pt idx="18">
                  <c:v>Germany</c:v>
                </c:pt>
                <c:pt idx="19">
                  <c:v>Italy</c:v>
                </c:pt>
                <c:pt idx="20">
                  <c:v>Belgium</c:v>
                </c:pt>
                <c:pt idx="21">
                  <c:v>Switzerland</c:v>
                </c:pt>
                <c:pt idx="22">
                  <c:v>Japan</c:v>
                </c:pt>
                <c:pt idx="23">
                  <c:v>Greece</c:v>
                </c:pt>
                <c:pt idx="24">
                  <c:v>France</c:v>
                </c:pt>
                <c:pt idx="25">
                  <c:v>Austria</c:v>
                </c:pt>
                <c:pt idx="26">
                  <c:v>Israel</c:v>
                </c:pt>
                <c:pt idx="27">
                  <c:v>Korea</c:v>
                </c:pt>
                <c:pt idx="28">
                  <c:v>New Zealand</c:v>
                </c:pt>
                <c:pt idx="29">
                  <c:v>Ireland</c:v>
                </c:pt>
                <c:pt idx="30">
                  <c:v>United Kingdom</c:v>
                </c:pt>
                <c:pt idx="31">
                  <c:v>Chile</c:v>
                </c:pt>
                <c:pt idx="32">
                  <c:v>Australia</c:v>
                </c:pt>
                <c:pt idx="33">
                  <c:v>Netherlands</c:v>
                </c:pt>
                <c:pt idx="34">
                  <c:v>Colombia</c:v>
                </c:pt>
                <c:pt idx="35">
                  <c:v>Türkiye</c:v>
                </c:pt>
              </c:strCache>
            </c:strRef>
          </c:cat>
          <c:val>
            <c:numRef>
              <c:f>'Chart PF2.1.E'!$M$7:$M$42</c:f>
              <c:numCache>
                <c:formatCode>0</c:formatCode>
                <c:ptCount val="36"/>
                <c:pt idx="0">
                  <c:v>82347.3956261</c:v>
                </c:pt>
                <c:pt idx="1">
                  <c:v>49816.2333249803</c:v>
                </c:pt>
                <c:pt idx="2">
                  <c:v>49028.8999934051</c:v>
                </c:pt>
                <c:pt idx="3">
                  <c:v>35990.5311148346</c:v>
                </c:pt>
                <c:pt idx="4">
                  <c:v>35003.3980927208</c:v>
                </c:pt>
                <c:pt idx="5">
                  <c:v>34936.8180945102</c:v>
                </c:pt>
                <c:pt idx="6">
                  <c:v>33581.6870437553</c:v>
                </c:pt>
                <c:pt idx="7">
                  <c:v>32384.1476480552</c:v>
                </c:pt>
                <c:pt idx="8">
                  <c:v>31430.9570501789</c:v>
                </c:pt>
                <c:pt idx="9">
                  <c:v>30193.2018363553</c:v>
                </c:pt>
                <c:pt idx="10">
                  <c:v>30081.6305172549</c:v>
                </c:pt>
                <c:pt idx="11">
                  <c:v>29562.3589611624</c:v>
                </c:pt>
                <c:pt idx="12">
                  <c:v>29028.0924240752</c:v>
                </c:pt>
                <c:pt idx="13">
                  <c:v>20938.258028068</c:v>
                </c:pt>
                <c:pt idx="14">
                  <c:v>20834.0378437216</c:v>
                </c:pt>
                <c:pt idx="15">
                  <c:v>18260.1053650961</c:v>
                </c:pt>
                <c:pt idx="16">
                  <c:v>18030.1566425313</c:v>
                </c:pt>
                <c:pt idx="17">
                  <c:v>16357.7494767809</c:v>
                </c:pt>
                <c:pt idx="18">
                  <c:v>16070.3584500641</c:v>
                </c:pt>
                <c:pt idx="19">
                  <c:v>15070.6185399589</c:v>
                </c:pt>
                <c:pt idx="20">
                  <c:v>13867.4832721677</c:v>
                </c:pt>
                <c:pt idx="21">
                  <c:v>13690.7899001754</c:v>
                </c:pt>
                <c:pt idx="22">
                  <c:v>11672.6034105167</c:v>
                </c:pt>
                <c:pt idx="23">
                  <c:v>10963.9735428548</c:v>
                </c:pt>
                <c:pt idx="24">
                  <c:v>9947.99444141252</c:v>
                </c:pt>
                <c:pt idx="25">
                  <c:v>9762.64098969668</c:v>
                </c:pt>
                <c:pt idx="26">
                  <c:v>7768.53271213632</c:v>
                </c:pt>
                <c:pt idx="27">
                  <c:v>7384.98060679404</c:v>
                </c:pt>
                <c:pt idx="28">
                  <c:v>7036.6527506202</c:v>
                </c:pt>
                <c:pt idx="29">
                  <c:v>6962.44735137954</c:v>
                </c:pt>
                <c:pt idx="30">
                  <c:v>6446.17300760982</c:v>
                </c:pt>
                <c:pt idx="31">
                  <c:v>6326.42222259255</c:v>
                </c:pt>
                <c:pt idx="32">
                  <c:v>6138.29023832799</c:v>
                </c:pt>
                <c:pt idx="33">
                  <c:v>1547.18281967339</c:v>
                </c:pt>
                <c:pt idx="34">
                  <c:v>1007.69334783221</c:v>
                </c:pt>
                <c:pt idx="35">
                  <c:v>554.8656865794</c:v>
                </c:pt>
              </c:numCache>
            </c:numRef>
          </c:val>
        </c:ser>
        <c:dLbls>
          <c:showLegendKey val="0"/>
          <c:showVal val="0"/>
          <c:showCatName val="0"/>
          <c:showSerName val="0"/>
          <c:showPercent val="0"/>
          <c:showBubbleSize val="0"/>
        </c:dLbls>
        <c:gapWidth val="150"/>
        <c:overlap val="100"/>
        <c:axId val="278326656"/>
        <c:axId val="278332544"/>
      </c:barChart>
      <c:catAx>
        <c:axId val="278326656"/>
        <c:scaling>
          <c:orientation val="minMax"/>
        </c:scaling>
        <c:delete val="0"/>
        <c:axPos val="b"/>
        <c:majorGridlines>
          <c:spPr>
            <a:ln w="9525" cap="flat" cmpd="sng" algn="ctr">
              <a:solidFill>
                <a:srgbClr val="FFFFFF"/>
              </a:solidFill>
              <a:prstDash val="solid"/>
              <a:round/>
            </a:ln>
          </c:spPr>
        </c:majorGridlines>
        <c:numFmt formatCode="General" sourceLinked="1"/>
        <c:majorTickMark val="in"/>
        <c:minorTickMark val="none"/>
        <c:tickLblPos val="low"/>
        <c:spPr>
          <a:noFill/>
          <a:ln w="9525" cap="flat" cmpd="sng" algn="ctr">
            <a:solidFill>
              <a:srgbClr val="000000"/>
            </a:solidFill>
            <a:prstDash val="solid"/>
            <a:round/>
          </a:ln>
        </c:spPr>
        <c:txPr>
          <a:bodyPr rot="-27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78332544"/>
        <c:crosses val="autoZero"/>
        <c:auto val="1"/>
        <c:lblAlgn val="ctr"/>
        <c:lblOffset val="0"/>
        <c:tickLblSkip val="1"/>
        <c:noMultiLvlLbl val="0"/>
      </c:catAx>
      <c:valAx>
        <c:axId val="278332544"/>
        <c:scaling>
          <c:orientation val="minMax"/>
        </c:scaling>
        <c:delete val="0"/>
        <c:axPos val="l"/>
        <c:majorGridlines>
          <c:spPr>
            <a:ln w="9525" cap="flat" cmpd="sng" algn="ctr">
              <a:solidFill>
                <a:srgbClr val="FFFFFF"/>
              </a:solidFill>
              <a:prstDash val="solid"/>
              <a:round/>
            </a:ln>
          </c:spPr>
        </c:majorGridlines>
        <c:title>
          <c:tx>
            <c:rich>
              <a:bodyPr rot="0" spcFirstLastPara="0" vertOverflow="ellipsis" vert="horz" wrap="square" anchor="ctr" anchorCtr="1"/>
              <a:lstStyle/>
              <a:p>
                <a:pPr algn="l">
                  <a:defRPr lang="zh-HK" sz="750" b="0" i="0" u="none" strike="noStrike" kern="1200" baseline="0">
                    <a:solidFill>
                      <a:srgbClr val="000000"/>
                    </a:solidFill>
                    <a:latin typeface="Arial Narrow" panose="020B0606020202030204" pitchFamily="34" charset="0"/>
                    <a:ea typeface="Arial Narrow" panose="020B0606020202030204"/>
                    <a:cs typeface="Arial Narrow" panose="020B0606020202030204"/>
                  </a:defRPr>
                </a:pPr>
                <a:r>
                  <a:rPr lang="en-GB" sz="750" b="0" i="0">
                    <a:solidFill>
                      <a:srgbClr val="000000"/>
                    </a:solidFill>
                    <a:latin typeface="Arial Narrow" panose="020B0606020202030204" pitchFamily="34" charset="0"/>
                  </a:rPr>
                  <a:t>USD PPP</a:t>
                </a:r>
                <a:endParaRPr lang="en-GB" sz="750" b="0" i="0">
                  <a:solidFill>
                    <a:srgbClr val="000000"/>
                  </a:solidFill>
                  <a:latin typeface="Arial Narrow" panose="020B0606020202030204" pitchFamily="34" charset="0"/>
                </a:endParaRPr>
              </a:p>
            </c:rich>
          </c:tx>
          <c:layout>
            <c:manualLayout>
              <c:xMode val="edge"/>
              <c:yMode val="edge"/>
              <c:x val="0.00874457960863875"/>
              <c:y val="0.0647426098918551"/>
            </c:manualLayout>
          </c:layout>
          <c:overlay val="0"/>
        </c:title>
        <c:numFmt formatCode="General" sourceLinked="0"/>
        <c:majorTickMark val="in"/>
        <c:minorTickMark val="none"/>
        <c:tickLblPos val="nextTo"/>
        <c:spPr>
          <a:noFill/>
          <a:ln w="9525" cap="flat" cmpd="sng" algn="ctr">
            <a:solidFill>
              <a:srgbClr val="000000"/>
            </a:solidFill>
            <a:prstDash val="solid"/>
            <a:round/>
          </a:ln>
        </c:spPr>
        <c:txPr>
          <a:bodyPr rot="-60000000" spcFirstLastPara="0" vertOverflow="ellipsis" vert="horz" wrap="square" anchor="ctr" anchorCtr="1"/>
          <a:lstStyle/>
          <a:p>
            <a:pPr>
              <a:defRPr lang="zh-HK" sz="750" b="0" i="0" u="none" strike="noStrike" kern="1200" baseline="0">
                <a:solidFill>
                  <a:srgbClr val="000000"/>
                </a:solidFill>
                <a:latin typeface="Arial Narrow" panose="020B0606020202030204"/>
                <a:ea typeface="Arial Narrow" panose="020B0606020202030204"/>
                <a:cs typeface="Arial Narrow" panose="020B0606020202030204"/>
              </a:defRPr>
            </a:pPr>
          </a:p>
        </c:txPr>
        <c:crossAx val="278326656"/>
        <c:crosses val="autoZero"/>
        <c:crossBetween val="between"/>
      </c:valAx>
      <c:spPr>
        <a:solidFill>
          <a:srgbClr val="EAEAEA"/>
        </a:solidFill>
        <a:ln w="9525">
          <a:noFill/>
        </a:ln>
        <a:effectLst/>
      </c:spPr>
    </c:plotArea>
    <c:plotVisOnly val="1"/>
    <c:dispBlanksAs val="gap"/>
    <c:showDLblsOverMax val="1"/>
    <c:extLst>
      <c:ext uri="{0b15fc19-7d7d-44ad-8c2d-2c3a37ce22c3}">
        <chartProps xmlns="https://web.wps.cn/et/2018/main" chartId="{2073dcaa-06e5-4bdc-af29-9f163a3c6086}"/>
      </c:ext>
    </c:extLst>
  </c:chart>
  <c:spPr>
    <a:noFill/>
    <a:ln w="9525" cap="flat" cmpd="sng" algn="ctr">
      <a:noFill/>
      <a:prstDash val="solid"/>
      <a:round/>
    </a:ln>
  </c:spPr>
  <c:txPr>
    <a:bodyPr/>
    <a:lstStyle/>
    <a:p>
      <a:pPr>
        <a:defRPr lang="zh-HK" sz="800" b="0" i="0" u="none" strike="noStrike" baseline="0">
          <a:solidFill>
            <a:srgbClr val="000000"/>
          </a:solidFill>
          <a:latin typeface="Arial Narrow" panose="020B0606020202030204"/>
          <a:ea typeface="Arial Narrow" panose="020B0606020202030204"/>
          <a:cs typeface="Arial Narrow" panose="020B0606020202030204"/>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60631</xdr:colOff>
      <xdr:row>6</xdr:row>
      <xdr:rowOff>90769</xdr:rowOff>
    </xdr:from>
    <xdr:to>
      <xdr:col>14</xdr:col>
      <xdr:colOff>2924</xdr:colOff>
      <xdr:row>53</xdr:row>
      <xdr:rowOff>2617</xdr:rowOff>
    </xdr:to>
    <xdr:graphicFrame>
      <xdr:nvGraphicFramePr>
        <xdr:cNvPr id="1276291" name="Chart 3"/>
        <xdr:cNvGraphicFramePr/>
      </xdr:nvGraphicFramePr>
      <xdr:xfrm>
        <a:off x="3867785" y="1179195"/>
        <a:ext cx="3013075" cy="54463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120682</xdr:colOff>
      <xdr:row>6</xdr:row>
      <xdr:rowOff>93743</xdr:rowOff>
    </xdr:from>
    <xdr:to>
      <xdr:col>6</xdr:col>
      <xdr:colOff>483690</xdr:colOff>
      <xdr:row>53</xdr:row>
      <xdr:rowOff>5591</xdr:rowOff>
    </xdr:to>
    <xdr:graphicFrame>
      <xdr:nvGraphicFramePr>
        <xdr:cNvPr id="1276292" name="Chart 4"/>
        <xdr:cNvGraphicFramePr/>
      </xdr:nvGraphicFramePr>
      <xdr:xfrm>
        <a:off x="296545" y="1182370"/>
        <a:ext cx="2703195" cy="5445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6</xdr:row>
      <xdr:rowOff>75141</xdr:rowOff>
    </xdr:from>
    <xdr:to>
      <xdr:col>13</xdr:col>
      <xdr:colOff>295717</xdr:colOff>
      <xdr:row>52</xdr:row>
      <xdr:rowOff>158141</xdr:rowOff>
    </xdr:to>
    <xdr:graphicFrame>
      <xdr:nvGraphicFramePr>
        <xdr:cNvPr id="2" name="Chart 3"/>
        <xdr:cNvGraphicFramePr/>
      </xdr:nvGraphicFramePr>
      <xdr:xfrm>
        <a:off x="3807460" y="1294130"/>
        <a:ext cx="2968625" cy="54552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113240</xdr:colOff>
      <xdr:row>6</xdr:row>
      <xdr:rowOff>75139</xdr:rowOff>
    </xdr:from>
    <xdr:to>
      <xdr:col>6</xdr:col>
      <xdr:colOff>476248</xdr:colOff>
      <xdr:row>52</xdr:row>
      <xdr:rowOff>158139</xdr:rowOff>
    </xdr:to>
    <xdr:graphicFrame>
      <xdr:nvGraphicFramePr>
        <xdr:cNvPr id="3" name="Chart 4"/>
        <xdr:cNvGraphicFramePr/>
      </xdr:nvGraphicFramePr>
      <xdr:xfrm>
        <a:off x="288925" y="1294130"/>
        <a:ext cx="2703195" cy="545528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6</xdr:row>
      <xdr:rowOff>102097</xdr:rowOff>
    </xdr:from>
    <xdr:to>
      <xdr:col>13</xdr:col>
      <xdr:colOff>295717</xdr:colOff>
      <xdr:row>52</xdr:row>
      <xdr:rowOff>164729</xdr:rowOff>
    </xdr:to>
    <xdr:graphicFrame>
      <xdr:nvGraphicFramePr>
        <xdr:cNvPr id="2" name="Chart 3"/>
        <xdr:cNvGraphicFramePr/>
      </xdr:nvGraphicFramePr>
      <xdr:xfrm>
        <a:off x="3807460" y="1320800"/>
        <a:ext cx="2968625" cy="545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113240</xdr:colOff>
      <xdr:row>6</xdr:row>
      <xdr:rowOff>93111</xdr:rowOff>
    </xdr:from>
    <xdr:to>
      <xdr:col>6</xdr:col>
      <xdr:colOff>476248</xdr:colOff>
      <xdr:row>52</xdr:row>
      <xdr:rowOff>155743</xdr:rowOff>
    </xdr:to>
    <xdr:graphicFrame>
      <xdr:nvGraphicFramePr>
        <xdr:cNvPr id="3" name="Chart 4"/>
        <xdr:cNvGraphicFramePr/>
      </xdr:nvGraphicFramePr>
      <xdr:xfrm>
        <a:off x="288925" y="1311910"/>
        <a:ext cx="2703195" cy="54603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241039</xdr:colOff>
      <xdr:row>5</xdr:row>
      <xdr:rowOff>205390</xdr:rowOff>
    </xdr:from>
    <xdr:to>
      <xdr:col>4</xdr:col>
      <xdr:colOff>1023</xdr:colOff>
      <xdr:row>5</xdr:row>
      <xdr:rowOff>365807</xdr:rowOff>
    </xdr:to>
    <xdr:sp>
      <xdr:nvSpPr>
        <xdr:cNvPr id="4" name="TextBox 3"/>
        <xdr:cNvSpPr txBox="1"/>
      </xdr:nvSpPr>
      <xdr:spPr>
        <a:xfrm>
          <a:off x="618490" y="1014730"/>
          <a:ext cx="829310" cy="160655"/>
        </a:xfrm>
        <a:prstGeom prst="rect">
          <a:avLst/>
        </a:prstGeom>
        <a:solidFill>
          <a:srgbClr val="EAEA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700">
              <a:solidFill>
                <a:sysClr val="windowText" lastClr="000000"/>
              </a:solidFill>
              <a:latin typeface="Arial Narrow" panose="020B0606020202030204" pitchFamily="34" charset="0"/>
            </a:rPr>
            <a:t>  Paternity leave</a:t>
          </a:r>
          <a:r>
            <a:rPr lang="en-GB" sz="700" baseline="0">
              <a:solidFill>
                <a:sysClr val="windowText" lastClr="000000"/>
              </a:solidFill>
              <a:latin typeface="Arial Narrow" panose="020B0606020202030204" pitchFamily="34" charset="0"/>
            </a:rPr>
            <a:t>              </a:t>
          </a:r>
          <a:endParaRPr lang="en-GB" sz="700">
            <a:solidFill>
              <a:sysClr val="windowText" lastClr="000000"/>
            </a:solidFill>
            <a:latin typeface="Arial Narrow" panose="020B0606020202030204" pitchFamily="34" charset="0"/>
          </a:endParaRPr>
        </a:p>
      </xdr:txBody>
    </xdr:sp>
    <xdr:clientData/>
  </xdr:twoCellAnchor>
  <xdr:twoCellAnchor>
    <xdr:from>
      <xdr:col>2</xdr:col>
      <xdr:colOff>273654</xdr:colOff>
      <xdr:row>5</xdr:row>
      <xdr:rowOff>240756</xdr:rowOff>
    </xdr:from>
    <xdr:to>
      <xdr:col>2</xdr:col>
      <xdr:colOff>358321</xdr:colOff>
      <xdr:row>5</xdr:row>
      <xdr:rowOff>325423</xdr:rowOff>
    </xdr:to>
    <xdr:sp>
      <xdr:nvSpPr>
        <xdr:cNvPr id="5" name="Rectangle 4"/>
        <xdr:cNvSpPr/>
      </xdr:nvSpPr>
      <xdr:spPr>
        <a:xfrm>
          <a:off x="650875" y="1050290"/>
          <a:ext cx="85090" cy="84455"/>
        </a:xfrm>
        <a:prstGeom prst="rect">
          <a:avLst/>
        </a:prstGeom>
        <a:solidFill>
          <a:srgbClr val="7FA8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495484</xdr:colOff>
      <xdr:row>5</xdr:row>
      <xdr:rowOff>205384</xdr:rowOff>
    </xdr:from>
    <xdr:to>
      <xdr:col>6</xdr:col>
      <xdr:colOff>218687</xdr:colOff>
      <xdr:row>5</xdr:row>
      <xdr:rowOff>365801</xdr:rowOff>
    </xdr:to>
    <xdr:sp>
      <xdr:nvSpPr>
        <xdr:cNvPr id="7" name="TextBox 6"/>
        <xdr:cNvSpPr txBox="1"/>
      </xdr:nvSpPr>
      <xdr:spPr>
        <a:xfrm>
          <a:off x="1407795" y="1014730"/>
          <a:ext cx="1327150" cy="160655"/>
        </a:xfrm>
        <a:prstGeom prst="rect">
          <a:avLst/>
        </a:prstGeom>
        <a:solidFill>
          <a:srgbClr val="EAEA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700">
              <a:solidFill>
                <a:sysClr val="windowText" lastClr="000000"/>
              </a:solidFill>
              <a:latin typeface="Arial Narrow" panose="020B0606020202030204" pitchFamily="34" charset="0"/>
            </a:rPr>
            <a:t>  Parental and home care leave</a:t>
          </a:r>
          <a:endParaRPr lang="en-GB" sz="700">
            <a:solidFill>
              <a:sysClr val="windowText" lastClr="000000"/>
            </a:solidFill>
            <a:latin typeface="Arial Narrow" panose="020B0606020202030204" pitchFamily="34" charset="0"/>
          </a:endParaRPr>
        </a:p>
      </xdr:txBody>
    </xdr:sp>
    <xdr:clientData/>
  </xdr:twoCellAnchor>
  <xdr:twoCellAnchor>
    <xdr:from>
      <xdr:col>4</xdr:col>
      <xdr:colOff>3574</xdr:colOff>
      <xdr:row>5</xdr:row>
      <xdr:rowOff>245308</xdr:rowOff>
    </xdr:from>
    <xdr:to>
      <xdr:col>4</xdr:col>
      <xdr:colOff>91006</xdr:colOff>
      <xdr:row>5</xdr:row>
      <xdr:rowOff>333150</xdr:rowOff>
    </xdr:to>
    <xdr:sp>
      <xdr:nvSpPr>
        <xdr:cNvPr id="6" name="Rectangle 5"/>
        <xdr:cNvSpPr/>
      </xdr:nvSpPr>
      <xdr:spPr>
        <a:xfrm>
          <a:off x="1450340" y="1054735"/>
          <a:ext cx="87630" cy="87630"/>
        </a:xfrm>
        <a:prstGeom prst="rect">
          <a:avLst/>
        </a:prstGeom>
        <a:solidFill>
          <a:srgbClr val="002F6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4</xdr:row>
      <xdr:rowOff>0</xdr:rowOff>
    </xdr:from>
    <xdr:to>
      <xdr:col>9</xdr:col>
      <xdr:colOff>332438</xdr:colOff>
      <xdr:row>19</xdr:row>
      <xdr:rowOff>83123</xdr:rowOff>
    </xdr:to>
    <xdr:graphicFrame>
      <xdr:nvGraphicFramePr>
        <xdr:cNvPr id="2" name="Chart 1"/>
        <xdr:cNvGraphicFramePr/>
      </xdr:nvGraphicFramePr>
      <xdr:xfrm>
        <a:off x="0" y="650875"/>
        <a:ext cx="6144260" cy="25177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4</xdr:row>
      <xdr:rowOff>57150</xdr:rowOff>
    </xdr:from>
    <xdr:to>
      <xdr:col>9</xdr:col>
      <xdr:colOff>65738</xdr:colOff>
      <xdr:row>20</xdr:row>
      <xdr:rowOff>16448</xdr:rowOff>
    </xdr:to>
    <xdr:graphicFrame>
      <xdr:nvGraphicFramePr>
        <xdr:cNvPr id="2" name="Chart 1"/>
        <xdr:cNvGraphicFramePr/>
      </xdr:nvGraphicFramePr>
      <xdr:xfrm>
        <a:off x="0" y="704850"/>
        <a:ext cx="5991860" cy="25495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customProperty" Target="../customProperty8.bin"/><Relationship Id="rId8" Type="http://schemas.openxmlformats.org/officeDocument/2006/relationships/customProperty" Target="../customProperty7.bin"/><Relationship Id="rId7" Type="http://schemas.openxmlformats.org/officeDocument/2006/relationships/customProperty" Target="../customProperty6.bin"/><Relationship Id="rId6" Type="http://schemas.openxmlformats.org/officeDocument/2006/relationships/customProperty" Target="../customProperty5.bin"/><Relationship Id="rId5" Type="http://schemas.openxmlformats.org/officeDocument/2006/relationships/customProperty" Target="../customProperty4.bin"/><Relationship Id="rId4" Type="http://schemas.openxmlformats.org/officeDocument/2006/relationships/customProperty" Target="../customProperty3.bin"/><Relationship Id="rId3" Type="http://schemas.openxmlformats.org/officeDocument/2006/relationships/customProperty" Target="../customProperty2.bin"/><Relationship Id="rId2" Type="http://schemas.openxmlformats.org/officeDocument/2006/relationships/customProperty" Target="../customProperty1.bin"/><Relationship Id="rId15" Type="http://schemas.openxmlformats.org/officeDocument/2006/relationships/customProperty" Target="../customProperty14.bin"/><Relationship Id="rId14" Type="http://schemas.openxmlformats.org/officeDocument/2006/relationships/customProperty" Target="../customProperty13.bin"/><Relationship Id="rId13" Type="http://schemas.openxmlformats.org/officeDocument/2006/relationships/customProperty" Target="../customProperty12.bin"/><Relationship Id="rId12" Type="http://schemas.openxmlformats.org/officeDocument/2006/relationships/customProperty" Target="../customProperty11.bin"/><Relationship Id="rId11" Type="http://schemas.openxmlformats.org/officeDocument/2006/relationships/customProperty" Target="../customProperty10.bin"/><Relationship Id="rId10" Type="http://schemas.openxmlformats.org/officeDocument/2006/relationships/customProperty" Target="../customProperty9.bin"/><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 Id="rId3" Type="http://schemas.openxmlformats.org/officeDocument/2006/relationships/customProperty" Target="../customProperty18.bin"/><Relationship Id="rId2" Type="http://schemas.openxmlformats.org/officeDocument/2006/relationships/customProperty" Target="../customProperty17.bin"/><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6" Type="http://schemas.openxmlformats.org/officeDocument/2006/relationships/customProperty" Target="../customProperty26.bin"/><Relationship Id="rId5" Type="http://schemas.openxmlformats.org/officeDocument/2006/relationships/customProperty" Target="../customProperty25.bin"/><Relationship Id="rId4" Type="http://schemas.openxmlformats.org/officeDocument/2006/relationships/customProperty" Target="../customProperty24.bin"/><Relationship Id="rId3" Type="http://schemas.openxmlformats.org/officeDocument/2006/relationships/customProperty" Target="../customProperty23.bin"/><Relationship Id="rId2" Type="http://schemas.openxmlformats.org/officeDocument/2006/relationships/customProperty" Target="../customProperty22.bin"/><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K68"/>
  <sheetViews>
    <sheetView showGridLines="0" tabSelected="1" zoomScale="180" zoomScaleNormal="180" workbookViewId="0">
      <selection activeCell="C11" sqref="C11:K11"/>
    </sheetView>
  </sheetViews>
  <sheetFormatPr defaultColWidth="9" defaultRowHeight="12.75"/>
  <cols>
    <col min="1" max="1" width="10.7256637168142" customWidth="1"/>
    <col min="2" max="2" width="3.8141592920354" customWidth="1"/>
    <col min="3" max="11" width="11.4513274336283" customWidth="1"/>
  </cols>
  <sheetData>
    <row r="1" customHeight="1" spans="1:11">
      <c r="A1" s="111" t="s">
        <v>0</v>
      </c>
      <c r="B1" s="111"/>
      <c r="C1" s="111"/>
      <c r="D1" s="111"/>
      <c r="E1" s="111"/>
      <c r="F1" s="111"/>
      <c r="G1" s="111"/>
      <c r="H1" s="111"/>
      <c r="I1" s="111"/>
      <c r="J1" s="111"/>
      <c r="K1" s="111"/>
    </row>
    <row r="2" spans="1:11">
      <c r="A2" s="111"/>
      <c r="B2" s="111"/>
      <c r="C2" s="111"/>
      <c r="D2" s="111"/>
      <c r="E2" s="111"/>
      <c r="F2" s="111"/>
      <c r="G2" s="111"/>
      <c r="H2" s="111"/>
      <c r="I2" s="111"/>
      <c r="J2" s="111"/>
      <c r="K2" s="111"/>
    </row>
    <row r="3" customHeight="1" spans="1:11">
      <c r="A3" s="146" t="s">
        <v>1</v>
      </c>
      <c r="B3" s="146"/>
      <c r="C3" s="146"/>
      <c r="D3" s="146"/>
      <c r="E3" s="146"/>
      <c r="F3" s="146"/>
      <c r="G3" s="146"/>
      <c r="H3" s="146"/>
      <c r="I3" s="146"/>
      <c r="J3" s="146"/>
      <c r="K3" s="146"/>
    </row>
    <row r="4" customHeight="1" spans="1:11">
      <c r="A4" s="146"/>
      <c r="B4" s="146"/>
      <c r="C4" s="146"/>
      <c r="D4" s="146"/>
      <c r="E4" s="146"/>
      <c r="F4" s="146"/>
      <c r="G4" s="146"/>
      <c r="H4" s="146"/>
      <c r="I4" s="146"/>
      <c r="J4" s="146"/>
      <c r="K4" s="146"/>
    </row>
    <row r="5" spans="1:11">
      <c r="A5" s="113"/>
      <c r="B5" s="113"/>
      <c r="C5" s="114"/>
      <c r="D5" s="114"/>
      <c r="E5" s="114"/>
      <c r="F5" s="115"/>
      <c r="G5" s="115"/>
      <c r="H5" s="115"/>
      <c r="I5" s="115"/>
      <c r="J5" s="115"/>
      <c r="K5" s="115"/>
    </row>
    <row r="6" ht="13.5" customHeight="1" spans="1:11">
      <c r="A6" s="116"/>
      <c r="B6" s="116"/>
      <c r="C6" s="117" t="s">
        <v>2</v>
      </c>
      <c r="D6" s="117" t="s">
        <v>2</v>
      </c>
      <c r="E6" s="117" t="s">
        <v>2</v>
      </c>
      <c r="F6" s="117" t="s">
        <v>3</v>
      </c>
      <c r="G6" s="117" t="s">
        <v>3</v>
      </c>
      <c r="H6" s="117" t="s">
        <v>3</v>
      </c>
      <c r="I6" s="117" t="s">
        <v>4</v>
      </c>
      <c r="J6" s="117" t="s">
        <v>4</v>
      </c>
      <c r="K6" s="117" t="s">
        <v>4</v>
      </c>
    </row>
    <row r="7" ht="35" customHeight="1" spans="1:11">
      <c r="A7" s="116"/>
      <c r="B7" s="116"/>
      <c r="C7" s="117" t="str">
        <f>_xlfn.CONCAT(C6,,C8)</f>
        <v>Paid maternity leaveLength (weeks)</v>
      </c>
      <c r="D7" s="117" t="str">
        <f t="shared" ref="D7:K7" si="0">_xlfn.CONCAT(D6,,D8)</f>
        <v>Paid maternity leaveAverage payment rate (%)</v>
      </c>
      <c r="E7" s="117" t="str">
        <f t="shared" si="0"/>
        <v>Paid maternity leaveFull-rate equivalent (weeks)</v>
      </c>
      <c r="F7" s="117" t="str">
        <f t="shared" si="0"/>
        <v>Paid parental and home care leave available to mothersLength (weeks)</v>
      </c>
      <c r="G7" s="117" t="str">
        <f t="shared" si="0"/>
        <v>Paid parental and home care leave available to mothersAverage payment rate (%)</v>
      </c>
      <c r="H7" s="117" t="str">
        <f t="shared" si="0"/>
        <v>Paid parental and home care leave available to mothersFull-rate equivalent (weeks)</v>
      </c>
      <c r="I7" s="117" t="str">
        <f t="shared" si="0"/>
        <v>Total paid leave available to mothersLength (weeks)</v>
      </c>
      <c r="J7" s="117" t="str">
        <f t="shared" si="0"/>
        <v>Total paid leave available to mothersAverage payment rate (%)</v>
      </c>
      <c r="K7" s="117" t="str">
        <f t="shared" si="0"/>
        <v>Total paid leave available to mothersFull-rate equivalent (weeks)</v>
      </c>
    </row>
    <row r="8" ht="13.5" customHeight="1" spans="1:11">
      <c r="A8" s="116"/>
      <c r="B8" s="116"/>
      <c r="C8" s="119" t="s">
        <v>5</v>
      </c>
      <c r="D8" s="120" t="s">
        <v>6</v>
      </c>
      <c r="E8" s="121" t="s">
        <v>7</v>
      </c>
      <c r="F8" s="119" t="s">
        <v>5</v>
      </c>
      <c r="G8" s="120" t="s">
        <v>6</v>
      </c>
      <c r="H8" s="121" t="s">
        <v>7</v>
      </c>
      <c r="I8" s="119" t="s">
        <v>5</v>
      </c>
      <c r="J8" s="120" t="s">
        <v>6</v>
      </c>
      <c r="K8" s="120" t="s">
        <v>7</v>
      </c>
    </row>
    <row r="9" spans="1:11">
      <c r="A9" s="116"/>
      <c r="B9" s="116"/>
      <c r="C9" s="119"/>
      <c r="D9" s="120"/>
      <c r="E9" s="121"/>
      <c r="F9" s="119"/>
      <c r="G9" s="120"/>
      <c r="H9" s="121"/>
      <c r="I9" s="119"/>
      <c r="J9" s="120"/>
      <c r="K9" s="120"/>
    </row>
    <row r="10" spans="1:11">
      <c r="A10" s="116"/>
      <c r="B10" s="116"/>
      <c r="C10" s="119"/>
      <c r="D10" s="120"/>
      <c r="E10" s="121"/>
      <c r="F10" s="119"/>
      <c r="G10" s="120"/>
      <c r="H10" s="121"/>
      <c r="I10" s="119"/>
      <c r="J10" s="120"/>
      <c r="K10" s="120"/>
    </row>
    <row r="11" spans="1:11">
      <c r="A11" s="147"/>
      <c r="B11" s="147"/>
      <c r="C11" s="148" t="s">
        <v>8</v>
      </c>
      <c r="D11" s="149" t="s">
        <v>9</v>
      </c>
      <c r="E11" s="150" t="s">
        <v>10</v>
      </c>
      <c r="F11" s="149" t="s">
        <v>11</v>
      </c>
      <c r="G11" s="149" t="s">
        <v>12</v>
      </c>
      <c r="H11" s="150" t="s">
        <v>13</v>
      </c>
      <c r="I11" s="149" t="s">
        <v>14</v>
      </c>
      <c r="J11" s="149" t="s">
        <v>15</v>
      </c>
      <c r="K11" s="149" t="s">
        <v>16</v>
      </c>
    </row>
    <row r="12" spans="1:11">
      <c r="A12" s="122" t="s">
        <v>17</v>
      </c>
      <c r="B12" s="122"/>
      <c r="C12" s="123">
        <v>2</v>
      </c>
      <c r="D12" s="124">
        <v>46.1056899840349</v>
      </c>
      <c r="E12" s="125">
        <v>0.922113799680698</v>
      </c>
      <c r="F12" s="123">
        <v>16</v>
      </c>
      <c r="G12" s="124">
        <v>46.1056899840349</v>
      </c>
      <c r="H12" s="126">
        <v>7.37691039744558</v>
      </c>
      <c r="I12" s="143">
        <v>18</v>
      </c>
      <c r="J12" s="143">
        <v>46.1056899840349</v>
      </c>
      <c r="K12" s="143">
        <v>8.29902419712628</v>
      </c>
    </row>
    <row r="13" spans="1:11">
      <c r="A13" s="127" t="s">
        <v>18</v>
      </c>
      <c r="B13" s="127"/>
      <c r="C13" s="128">
        <v>16</v>
      </c>
      <c r="D13" s="129">
        <v>100</v>
      </c>
      <c r="E13" s="130">
        <v>16</v>
      </c>
      <c r="F13" s="128">
        <v>44</v>
      </c>
      <c r="G13" s="129">
        <v>80</v>
      </c>
      <c r="H13" s="130">
        <v>35.2</v>
      </c>
      <c r="I13" s="144">
        <v>60</v>
      </c>
      <c r="J13" s="144">
        <v>85.3333333333333</v>
      </c>
      <c r="K13" s="144">
        <v>51.2</v>
      </c>
    </row>
    <row r="14" spans="1:11">
      <c r="A14" s="122" t="s">
        <v>19</v>
      </c>
      <c r="B14" s="122"/>
      <c r="C14" s="123">
        <v>15</v>
      </c>
      <c r="D14" s="124">
        <v>77.0220400000002</v>
      </c>
      <c r="E14" s="125">
        <v>11.553306</v>
      </c>
      <c r="F14" s="123">
        <v>17.3333333333333</v>
      </c>
      <c r="G14" s="124">
        <v>20.1941104390291</v>
      </c>
      <c r="H14" s="126">
        <v>3.50031247609838</v>
      </c>
      <c r="I14" s="143">
        <v>32.3333333333333</v>
      </c>
      <c r="J14" s="143">
        <v>46.5575829157683</v>
      </c>
      <c r="K14" s="143">
        <v>15.0536184760984</v>
      </c>
    </row>
    <row r="15" spans="1:11">
      <c r="A15" s="127" t="s">
        <v>20</v>
      </c>
      <c r="B15" s="127"/>
      <c r="C15" s="128">
        <v>16</v>
      </c>
      <c r="D15" s="129">
        <v>35.7346718474978</v>
      </c>
      <c r="E15" s="130">
        <v>5.71754749559965</v>
      </c>
      <c r="F15" s="128">
        <v>35</v>
      </c>
      <c r="G15" s="129">
        <v>40.4992947604975</v>
      </c>
      <c r="H15" s="130">
        <v>14.1747531661741</v>
      </c>
      <c r="I15" s="144">
        <v>51</v>
      </c>
      <c r="J15" s="144">
        <v>39.0045111015172</v>
      </c>
      <c r="K15" s="144">
        <v>19.8923006617738</v>
      </c>
    </row>
    <row r="16" spans="1:11">
      <c r="A16" s="122" t="s">
        <v>21</v>
      </c>
      <c r="B16" s="122"/>
      <c r="C16" s="123">
        <v>18</v>
      </c>
      <c r="D16" s="124">
        <v>100</v>
      </c>
      <c r="E16" s="125">
        <v>18</v>
      </c>
      <c r="F16" s="123">
        <v>12</v>
      </c>
      <c r="G16" s="124">
        <v>100</v>
      </c>
      <c r="H16" s="126">
        <v>12</v>
      </c>
      <c r="I16" s="143">
        <v>30</v>
      </c>
      <c r="J16" s="143">
        <v>100</v>
      </c>
      <c r="K16" s="143">
        <v>30</v>
      </c>
    </row>
    <row r="17" spans="1:11">
      <c r="A17" s="127" t="s">
        <v>22</v>
      </c>
      <c r="B17" s="127"/>
      <c r="C17" s="128">
        <v>18</v>
      </c>
      <c r="D17" s="129">
        <v>100</v>
      </c>
      <c r="E17" s="130">
        <v>18</v>
      </c>
      <c r="F17" s="128">
        <v>0</v>
      </c>
      <c r="G17" s="129">
        <v>0</v>
      </c>
      <c r="H17" s="130">
        <v>0</v>
      </c>
      <c r="I17" s="144">
        <v>18</v>
      </c>
      <c r="J17" s="144">
        <v>100</v>
      </c>
      <c r="K17" s="144">
        <v>18</v>
      </c>
    </row>
    <row r="18" spans="1:11">
      <c r="A18" s="122" t="s">
        <v>23</v>
      </c>
      <c r="B18" s="122"/>
      <c r="C18" s="123">
        <v>17.3333</v>
      </c>
      <c r="D18" s="124">
        <v>100</v>
      </c>
      <c r="E18" s="125">
        <v>17.3333</v>
      </c>
      <c r="F18" s="123">
        <v>0</v>
      </c>
      <c r="G18" s="124">
        <v>0</v>
      </c>
      <c r="H18" s="126">
        <v>0</v>
      </c>
      <c r="I18" s="143">
        <v>17.3333</v>
      </c>
      <c r="J18" s="143">
        <v>100</v>
      </c>
      <c r="K18" s="143">
        <v>17.3333</v>
      </c>
    </row>
    <row r="19" spans="1:11">
      <c r="A19" s="127" t="s">
        <v>24</v>
      </c>
      <c r="B19" s="127"/>
      <c r="C19" s="128">
        <v>28</v>
      </c>
      <c r="D19" s="129">
        <v>62.5459756704829</v>
      </c>
      <c r="E19" s="130">
        <v>17.5128731877352</v>
      </c>
      <c r="F19" s="128">
        <v>40.4579882099865</v>
      </c>
      <c r="G19" s="129">
        <v>86.6027863344096</v>
      </c>
      <c r="H19" s="130">
        <v>35.0377450846953</v>
      </c>
      <c r="I19" s="144">
        <v>68.4579882099865</v>
      </c>
      <c r="J19" s="144">
        <v>76.7633108224534</v>
      </c>
      <c r="K19" s="144">
        <v>52.5506182724305</v>
      </c>
    </row>
    <row r="20" spans="1:11">
      <c r="A20" s="122" t="s">
        <v>25</v>
      </c>
      <c r="B20" s="122"/>
      <c r="C20" s="123">
        <v>22</v>
      </c>
      <c r="D20" s="124">
        <v>49.6970221170345</v>
      </c>
      <c r="E20" s="125">
        <v>10.9333448657476</v>
      </c>
      <c r="F20" s="123">
        <v>19</v>
      </c>
      <c r="G20" s="124">
        <v>49.6970221170345</v>
      </c>
      <c r="H20" s="126">
        <v>9.44243420223656</v>
      </c>
      <c r="I20" s="143">
        <v>41</v>
      </c>
      <c r="J20" s="143">
        <v>49.6970221170345</v>
      </c>
      <c r="K20" s="143">
        <v>20.3757790679841</v>
      </c>
    </row>
    <row r="21" spans="1:11">
      <c r="A21" s="127" t="s">
        <v>26</v>
      </c>
      <c r="B21" s="127"/>
      <c r="C21" s="128">
        <v>14.2857142857143</v>
      </c>
      <c r="D21" s="129">
        <v>100</v>
      </c>
      <c r="E21" s="130">
        <v>14.2857142857143</v>
      </c>
      <c r="F21" s="128">
        <v>67.8571428571429</v>
      </c>
      <c r="G21" s="129">
        <v>100</v>
      </c>
      <c r="H21" s="130">
        <v>67.8571428571429</v>
      </c>
      <c r="I21" s="144">
        <v>82.1428571428572</v>
      </c>
      <c r="J21" s="144">
        <v>100</v>
      </c>
      <c r="K21" s="144">
        <v>82.1428571428572</v>
      </c>
    </row>
    <row r="22" spans="1:11">
      <c r="A22" s="122" t="s">
        <v>27</v>
      </c>
      <c r="B22" s="122"/>
      <c r="C22" s="123">
        <v>6.67</v>
      </c>
      <c r="D22" s="124">
        <v>84.7719295975578</v>
      </c>
      <c r="E22" s="125">
        <v>5.65428770415711</v>
      </c>
      <c r="F22" s="123">
        <v>154.33</v>
      </c>
      <c r="G22" s="124">
        <v>21.8619169398292</v>
      </c>
      <c r="H22" s="126">
        <v>33.7394964132385</v>
      </c>
      <c r="I22" s="143">
        <v>161</v>
      </c>
      <c r="J22" s="143">
        <v>24.4681888927923</v>
      </c>
      <c r="K22" s="143">
        <v>39.3937841173956</v>
      </c>
    </row>
    <row r="23" spans="1:11">
      <c r="A23" s="127" t="s">
        <v>28</v>
      </c>
      <c r="B23" s="127"/>
      <c r="C23" s="128">
        <v>16</v>
      </c>
      <c r="D23" s="129">
        <v>100</v>
      </c>
      <c r="E23" s="130">
        <v>16</v>
      </c>
      <c r="F23" s="128">
        <v>26</v>
      </c>
      <c r="G23" s="129">
        <v>14.5113669271446</v>
      </c>
      <c r="H23" s="130">
        <v>3.77295540105759</v>
      </c>
      <c r="I23" s="144">
        <v>42</v>
      </c>
      <c r="J23" s="144">
        <v>47.0784652406133</v>
      </c>
      <c r="K23" s="144">
        <v>19.7729554010576</v>
      </c>
    </row>
    <row r="24" spans="1:11">
      <c r="A24" s="122" t="s">
        <v>29</v>
      </c>
      <c r="B24" s="122"/>
      <c r="C24" s="123">
        <v>14</v>
      </c>
      <c r="D24" s="124">
        <v>100</v>
      </c>
      <c r="E24" s="125">
        <v>14</v>
      </c>
      <c r="F24" s="123">
        <v>44</v>
      </c>
      <c r="G24" s="124">
        <v>65</v>
      </c>
      <c r="H24" s="126">
        <v>28.6</v>
      </c>
      <c r="I24" s="143">
        <v>58</v>
      </c>
      <c r="J24" s="143">
        <v>73.448275862069</v>
      </c>
      <c r="K24" s="143">
        <v>42.6</v>
      </c>
    </row>
    <row r="25" spans="1:11">
      <c r="A25" s="127" t="s">
        <v>30</v>
      </c>
      <c r="B25" s="127"/>
      <c r="C25" s="128">
        <v>56</v>
      </c>
      <c r="D25" s="129">
        <v>60.312433683317</v>
      </c>
      <c r="E25" s="130">
        <v>33.7749628626575</v>
      </c>
      <c r="F25" s="128">
        <v>24.26667</v>
      </c>
      <c r="G25" s="129">
        <v>79.6532992888791</v>
      </c>
      <c r="H25" s="130">
        <v>19.3292032825446</v>
      </c>
      <c r="I25" s="144">
        <v>80.26667</v>
      </c>
      <c r="J25" s="144">
        <v>66.1596726825744</v>
      </c>
      <c r="K25" s="144">
        <v>53.1041661452021</v>
      </c>
    </row>
    <row r="26" spans="1:11">
      <c r="A26" s="122" t="s">
        <v>31</v>
      </c>
      <c r="B26" s="122"/>
      <c r="C26" s="123">
        <v>24</v>
      </c>
      <c r="D26" s="124">
        <v>100</v>
      </c>
      <c r="E26" s="125">
        <v>24</v>
      </c>
      <c r="F26" s="123">
        <v>136</v>
      </c>
      <c r="G26" s="124">
        <v>40.362487709025</v>
      </c>
      <c r="H26" s="126">
        <v>54.8929832842739</v>
      </c>
      <c r="I26" s="143">
        <v>160</v>
      </c>
      <c r="J26" s="143">
        <v>49.3081145526712</v>
      </c>
      <c r="K26" s="143">
        <v>78.8929832842739</v>
      </c>
    </row>
    <row r="27" spans="1:11">
      <c r="A27" s="127" t="s">
        <v>32</v>
      </c>
      <c r="B27" s="127"/>
      <c r="C27" s="128">
        <v>26</v>
      </c>
      <c r="D27" s="129">
        <v>65.0612090432912</v>
      </c>
      <c r="E27" s="130">
        <v>16.9159143512557</v>
      </c>
      <c r="F27" s="128">
        <v>6</v>
      </c>
      <c r="G27" s="129">
        <v>65.0612090432912</v>
      </c>
      <c r="H27" s="130">
        <v>3.90367254259747</v>
      </c>
      <c r="I27" s="144">
        <v>32</v>
      </c>
      <c r="J27" s="144">
        <v>65.0612090432912</v>
      </c>
      <c r="K27" s="144">
        <v>20.8195868938532</v>
      </c>
    </row>
    <row r="28" spans="1:11">
      <c r="A28" s="122" t="s">
        <v>33</v>
      </c>
      <c r="B28" s="122"/>
      <c r="C28" s="123">
        <v>26</v>
      </c>
      <c r="D28" s="124">
        <v>23.5892982835077</v>
      </c>
      <c r="E28" s="125">
        <v>6.13321755371201</v>
      </c>
      <c r="F28" s="123">
        <v>7</v>
      </c>
      <c r="G28" s="124">
        <v>23.5892982835077</v>
      </c>
      <c r="H28" s="126">
        <v>1.65125087984554</v>
      </c>
      <c r="I28" s="143">
        <v>33</v>
      </c>
      <c r="J28" s="143">
        <v>23.5892982835077</v>
      </c>
      <c r="K28" s="143">
        <v>7.78446843355755</v>
      </c>
    </row>
    <row r="29" spans="1:11">
      <c r="A29" s="127" t="s">
        <v>34</v>
      </c>
      <c r="B29" s="127"/>
      <c r="C29" s="128">
        <v>15</v>
      </c>
      <c r="D29" s="129">
        <v>100</v>
      </c>
      <c r="E29" s="130">
        <v>15</v>
      </c>
      <c r="F29" s="128">
        <v>0</v>
      </c>
      <c r="G29" s="129">
        <v>0</v>
      </c>
      <c r="H29" s="130">
        <v>0</v>
      </c>
      <c r="I29" s="144">
        <v>15</v>
      </c>
      <c r="J29" s="144">
        <v>100</v>
      </c>
      <c r="K29" s="144">
        <v>15</v>
      </c>
    </row>
    <row r="30" spans="1:11">
      <c r="A30" s="122" t="s">
        <v>35</v>
      </c>
      <c r="B30" s="122"/>
      <c r="C30" s="123">
        <v>21.7</v>
      </c>
      <c r="D30" s="124">
        <v>80</v>
      </c>
      <c r="E30" s="125">
        <v>17.36</v>
      </c>
      <c r="F30" s="123">
        <v>26</v>
      </c>
      <c r="G30" s="124">
        <v>30</v>
      </c>
      <c r="H30" s="126">
        <v>7.8</v>
      </c>
      <c r="I30" s="143">
        <v>47.7</v>
      </c>
      <c r="J30" s="143">
        <v>52.7463312368973</v>
      </c>
      <c r="K30" s="143">
        <v>25.16</v>
      </c>
    </row>
    <row r="31" spans="1:11">
      <c r="A31" s="127" t="s">
        <v>36</v>
      </c>
      <c r="B31" s="127"/>
      <c r="C31" s="128">
        <v>14</v>
      </c>
      <c r="D31" s="129">
        <v>67</v>
      </c>
      <c r="E31" s="130">
        <v>9.38</v>
      </c>
      <c r="F31" s="128">
        <v>44</v>
      </c>
      <c r="G31" s="129">
        <v>59.9350649350649</v>
      </c>
      <c r="H31" s="130">
        <v>26.3714285714286</v>
      </c>
      <c r="I31" s="144">
        <v>58</v>
      </c>
      <c r="J31" s="144">
        <v>61.64039408867</v>
      </c>
      <c r="K31" s="144">
        <v>35.7514285714286</v>
      </c>
    </row>
    <row r="32" spans="1:11">
      <c r="A32" s="122" t="s">
        <v>37</v>
      </c>
      <c r="B32" s="122"/>
      <c r="C32" s="123">
        <v>12.8571428571429</v>
      </c>
      <c r="D32" s="124">
        <v>82.116810753055</v>
      </c>
      <c r="E32" s="125">
        <v>10.5578756682499</v>
      </c>
      <c r="F32" s="123">
        <v>52</v>
      </c>
      <c r="G32" s="124">
        <v>52.3925421786634</v>
      </c>
      <c r="H32" s="126">
        <v>27.244121932905</v>
      </c>
      <c r="I32" s="143">
        <v>64.8571428571429</v>
      </c>
      <c r="J32" s="143">
        <v>58.2850183277719</v>
      </c>
      <c r="K32" s="143">
        <v>37.8019976011549</v>
      </c>
    </row>
    <row r="33" spans="1:11">
      <c r="A33" s="127" t="s">
        <v>38</v>
      </c>
      <c r="B33" s="127"/>
      <c r="C33" s="128">
        <v>16</v>
      </c>
      <c r="D33" s="129">
        <v>80</v>
      </c>
      <c r="E33" s="130">
        <v>12.8</v>
      </c>
      <c r="F33" s="128">
        <v>78</v>
      </c>
      <c r="G33" s="129">
        <v>40.8654649904096</v>
      </c>
      <c r="H33" s="130">
        <v>31.8750626925195</v>
      </c>
      <c r="I33" s="144">
        <v>94</v>
      </c>
      <c r="J33" s="144">
        <v>47.5266624388505</v>
      </c>
      <c r="K33" s="144">
        <v>44.6750626925195</v>
      </c>
    </row>
    <row r="34" spans="1:11">
      <c r="A34" s="122" t="s">
        <v>39</v>
      </c>
      <c r="B34" s="122"/>
      <c r="C34" s="123">
        <v>18</v>
      </c>
      <c r="D34" s="124">
        <v>77.58</v>
      </c>
      <c r="E34" s="125">
        <v>13.9644</v>
      </c>
      <c r="F34" s="123">
        <v>61.66666</v>
      </c>
      <c r="G34" s="124">
        <v>62.4698707534995</v>
      </c>
      <c r="H34" s="126">
        <v>38.5230828</v>
      </c>
      <c r="I34" s="143">
        <v>79.66666</v>
      </c>
      <c r="J34" s="143">
        <v>65.8838751367259</v>
      </c>
      <c r="K34" s="143">
        <v>52.4874828</v>
      </c>
    </row>
    <row r="35" spans="1:11">
      <c r="A35" s="127" t="s">
        <v>40</v>
      </c>
      <c r="B35" s="127"/>
      <c r="C35" s="128">
        <v>20</v>
      </c>
      <c r="D35" s="129">
        <v>100</v>
      </c>
      <c r="E35" s="130">
        <v>20</v>
      </c>
      <c r="F35" s="128">
        <v>26</v>
      </c>
      <c r="G35" s="129">
        <v>71.1133603465639</v>
      </c>
      <c r="H35" s="130">
        <v>18.4894736901066</v>
      </c>
      <c r="I35" s="144">
        <v>46</v>
      </c>
      <c r="J35" s="144">
        <v>83.6727688915361</v>
      </c>
      <c r="K35" s="144">
        <v>38.4894736901066</v>
      </c>
    </row>
    <row r="36" spans="1:11">
      <c r="A36" s="122" t="s">
        <v>41</v>
      </c>
      <c r="B36" s="122"/>
      <c r="C36" s="123">
        <v>12</v>
      </c>
      <c r="D36" s="124">
        <v>100</v>
      </c>
      <c r="E36" s="125">
        <v>12</v>
      </c>
      <c r="F36" s="123">
        <v>0</v>
      </c>
      <c r="G36" s="124">
        <v>0</v>
      </c>
      <c r="H36" s="126">
        <v>0</v>
      </c>
      <c r="I36" s="143">
        <v>12</v>
      </c>
      <c r="J36" s="143">
        <v>100</v>
      </c>
      <c r="K36" s="143">
        <v>12</v>
      </c>
    </row>
    <row r="37" spans="1:11">
      <c r="A37" s="127" t="s">
        <v>42</v>
      </c>
      <c r="B37" s="127"/>
      <c r="C37" s="128">
        <v>16</v>
      </c>
      <c r="D37" s="129">
        <v>100</v>
      </c>
      <c r="E37" s="130">
        <v>16</v>
      </c>
      <c r="F37" s="128">
        <v>9</v>
      </c>
      <c r="G37" s="129">
        <v>70</v>
      </c>
      <c r="H37" s="130">
        <v>6.3</v>
      </c>
      <c r="I37" s="144">
        <v>25</v>
      </c>
      <c r="J37" s="144">
        <v>89.2</v>
      </c>
      <c r="K37" s="144">
        <v>22.3</v>
      </c>
    </row>
    <row r="38" spans="1:11">
      <c r="A38" s="122" t="s">
        <v>43</v>
      </c>
      <c r="B38" s="122"/>
      <c r="C38" s="123">
        <v>26</v>
      </c>
      <c r="D38" s="124">
        <v>48.7264050894067</v>
      </c>
      <c r="E38" s="125">
        <v>12.6688653232457</v>
      </c>
      <c r="F38" s="123">
        <v>0</v>
      </c>
      <c r="G38" s="124">
        <v>0</v>
      </c>
      <c r="H38" s="126">
        <v>0</v>
      </c>
      <c r="I38" s="143">
        <v>26</v>
      </c>
      <c r="J38" s="143">
        <v>48.7264050894067</v>
      </c>
      <c r="K38" s="143">
        <v>12.6688653232457</v>
      </c>
    </row>
    <row r="39" spans="1:11">
      <c r="A39" s="127" t="s">
        <v>44</v>
      </c>
      <c r="B39" s="127"/>
      <c r="C39" s="128">
        <v>18</v>
      </c>
      <c r="D39" s="129">
        <v>98.1630305713044</v>
      </c>
      <c r="E39" s="130">
        <v>17.6693455028348</v>
      </c>
      <c r="F39" s="128">
        <v>68</v>
      </c>
      <c r="G39" s="129">
        <v>32.5895770512248</v>
      </c>
      <c r="H39" s="130">
        <v>22.1609123948329</v>
      </c>
      <c r="I39" s="144">
        <v>86</v>
      </c>
      <c r="J39" s="144">
        <v>46.314253369381</v>
      </c>
      <c r="K39" s="144">
        <v>39.8302578976677</v>
      </c>
    </row>
    <row r="40" spans="1:11">
      <c r="A40" s="122" t="s">
        <v>45</v>
      </c>
      <c r="B40" s="122"/>
      <c r="C40" s="123">
        <v>20</v>
      </c>
      <c r="D40" s="124">
        <v>100</v>
      </c>
      <c r="E40" s="125">
        <v>20</v>
      </c>
      <c r="F40" s="123">
        <v>32</v>
      </c>
      <c r="G40" s="124">
        <v>63.4375</v>
      </c>
      <c r="H40" s="126">
        <v>20.3</v>
      </c>
      <c r="I40" s="143">
        <v>52</v>
      </c>
      <c r="J40" s="143">
        <v>77.5</v>
      </c>
      <c r="K40" s="143">
        <v>40.3</v>
      </c>
    </row>
    <row r="41" spans="1:11">
      <c r="A41" s="127" t="s">
        <v>46</v>
      </c>
      <c r="B41" s="127"/>
      <c r="C41" s="128">
        <v>6</v>
      </c>
      <c r="D41" s="129">
        <v>100</v>
      </c>
      <c r="E41" s="130">
        <v>6</v>
      </c>
      <c r="F41" s="128">
        <v>24.14</v>
      </c>
      <c r="G41" s="129">
        <v>67.6884838442419</v>
      </c>
      <c r="H41" s="130">
        <v>16.34</v>
      </c>
      <c r="I41" s="144">
        <v>30.14</v>
      </c>
      <c r="J41" s="144">
        <v>74.1207697412077</v>
      </c>
      <c r="K41" s="144">
        <v>22.34</v>
      </c>
    </row>
    <row r="42" spans="1:11">
      <c r="A42" s="122" t="s">
        <v>47</v>
      </c>
      <c r="B42" s="122"/>
      <c r="C42" s="123">
        <v>34</v>
      </c>
      <c r="D42" s="124">
        <v>75</v>
      </c>
      <c r="E42" s="125">
        <v>25.5</v>
      </c>
      <c r="F42" s="123">
        <v>130</v>
      </c>
      <c r="G42" s="124">
        <v>33.3709373705818</v>
      </c>
      <c r="H42" s="126">
        <v>43.3822185817563</v>
      </c>
      <c r="I42" s="143">
        <v>164</v>
      </c>
      <c r="J42" s="143">
        <v>42.0013527937539</v>
      </c>
      <c r="K42" s="143">
        <v>68.8822185817563</v>
      </c>
    </row>
    <row r="43" spans="1:11">
      <c r="A43" s="127" t="s">
        <v>48</v>
      </c>
      <c r="B43" s="127"/>
      <c r="C43" s="128">
        <v>15</v>
      </c>
      <c r="D43" s="129">
        <v>100</v>
      </c>
      <c r="E43" s="130">
        <v>15</v>
      </c>
      <c r="F43" s="128">
        <v>37.1428571428571</v>
      </c>
      <c r="G43" s="129">
        <v>100</v>
      </c>
      <c r="H43" s="130">
        <v>37.1428571428571</v>
      </c>
      <c r="I43" s="144">
        <v>52.1428571428571</v>
      </c>
      <c r="J43" s="144">
        <v>100</v>
      </c>
      <c r="K43" s="144">
        <v>52.1428571428571</v>
      </c>
    </row>
    <row r="44" spans="1:11">
      <c r="A44" s="122" t="s">
        <v>49</v>
      </c>
      <c r="B44" s="122"/>
      <c r="C44" s="123">
        <v>16</v>
      </c>
      <c r="D44" s="124">
        <v>100</v>
      </c>
      <c r="E44" s="125">
        <v>16</v>
      </c>
      <c r="F44" s="123">
        <v>0</v>
      </c>
      <c r="G44" s="124">
        <v>0</v>
      </c>
      <c r="H44" s="126">
        <v>0</v>
      </c>
      <c r="I44" s="143">
        <v>16</v>
      </c>
      <c r="J44" s="143">
        <v>100</v>
      </c>
      <c r="K44" s="143">
        <v>16</v>
      </c>
    </row>
    <row r="45" spans="1:11">
      <c r="A45" s="127" t="s">
        <v>50</v>
      </c>
      <c r="B45" s="127"/>
      <c r="C45" s="128">
        <v>12.8571428571429</v>
      </c>
      <c r="D45" s="129">
        <v>77.6</v>
      </c>
      <c r="E45" s="130">
        <v>9.97714285714286</v>
      </c>
      <c r="F45" s="128">
        <v>42.8571428571429</v>
      </c>
      <c r="G45" s="129">
        <v>57.0559084964857</v>
      </c>
      <c r="H45" s="130">
        <v>24.4525322127796</v>
      </c>
      <c r="I45" s="144">
        <v>55.7142857142857</v>
      </c>
      <c r="J45" s="144">
        <v>61.7968526896044</v>
      </c>
      <c r="K45" s="144">
        <v>34.4296750699224</v>
      </c>
    </row>
    <row r="46" spans="1:11">
      <c r="A46" s="122" t="s">
        <v>51</v>
      </c>
      <c r="B46" s="122"/>
      <c r="C46" s="123">
        <v>14</v>
      </c>
      <c r="D46" s="124">
        <v>55.8866758007562</v>
      </c>
      <c r="E46" s="125">
        <v>7.82413461210587</v>
      </c>
      <c r="F46" s="123">
        <v>0</v>
      </c>
      <c r="G46" s="124">
        <v>0</v>
      </c>
      <c r="H46" s="126">
        <v>0</v>
      </c>
      <c r="I46" s="143">
        <v>14</v>
      </c>
      <c r="J46" s="143">
        <v>55.8866758007562</v>
      </c>
      <c r="K46" s="143">
        <v>7.82413461210587</v>
      </c>
    </row>
    <row r="47" spans="1:11">
      <c r="A47" s="127" t="s">
        <v>52</v>
      </c>
      <c r="B47" s="127"/>
      <c r="C47" s="128">
        <v>16</v>
      </c>
      <c r="D47" s="129">
        <v>100</v>
      </c>
      <c r="E47" s="130">
        <v>16</v>
      </c>
      <c r="F47" s="128">
        <v>0</v>
      </c>
      <c r="G47" s="129">
        <v>0</v>
      </c>
      <c r="H47" s="130">
        <v>0</v>
      </c>
      <c r="I47" s="144">
        <v>16</v>
      </c>
      <c r="J47" s="144">
        <v>90</v>
      </c>
      <c r="K47" s="144">
        <v>14.4</v>
      </c>
    </row>
    <row r="48" spans="1:11">
      <c r="A48" s="122" t="s">
        <v>53</v>
      </c>
      <c r="B48" s="122"/>
      <c r="C48" s="123">
        <v>39</v>
      </c>
      <c r="D48" s="124">
        <v>31.1333703722561</v>
      </c>
      <c r="E48" s="125">
        <v>12.1420144451799</v>
      </c>
      <c r="F48" s="123">
        <v>0</v>
      </c>
      <c r="G48" s="124">
        <v>0</v>
      </c>
      <c r="H48" s="126">
        <v>0</v>
      </c>
      <c r="I48" s="143">
        <v>39</v>
      </c>
      <c r="J48" s="143">
        <v>31.1333703722561</v>
      </c>
      <c r="K48" s="143">
        <v>12.1420144451799</v>
      </c>
    </row>
    <row r="49" spans="1:11">
      <c r="A49" s="131" t="s">
        <v>54</v>
      </c>
      <c r="B49" s="131"/>
      <c r="C49" s="132">
        <v>0</v>
      </c>
      <c r="D49" s="133">
        <v>0</v>
      </c>
      <c r="E49" s="134">
        <v>0</v>
      </c>
      <c r="F49" s="132">
        <v>0</v>
      </c>
      <c r="G49" s="133">
        <v>0</v>
      </c>
      <c r="H49" s="134">
        <v>0</v>
      </c>
      <c r="I49" s="133">
        <v>0</v>
      </c>
      <c r="J49" s="133">
        <v>0</v>
      </c>
      <c r="K49" s="133">
        <v>0</v>
      </c>
    </row>
    <row r="50" spans="1:11">
      <c r="A50" s="135" t="s">
        <v>55</v>
      </c>
      <c r="B50" s="135"/>
      <c r="C50" s="136">
        <v>18.3606131578947</v>
      </c>
      <c r="D50" s="137" t="s">
        <v>56</v>
      </c>
      <c r="E50" s="138" t="s">
        <v>56</v>
      </c>
      <c r="F50" s="136">
        <v>33.6855735368543</v>
      </c>
      <c r="G50" s="137" t="s">
        <v>56</v>
      </c>
      <c r="H50" s="139" t="s">
        <v>56</v>
      </c>
      <c r="I50" s="137">
        <v>52.046186694749</v>
      </c>
      <c r="J50" s="137" t="s">
        <v>56</v>
      </c>
      <c r="K50" s="137" t="s">
        <v>56</v>
      </c>
    </row>
    <row r="51" spans="1:11">
      <c r="A51" s="127" t="s">
        <v>57</v>
      </c>
      <c r="B51" s="127"/>
      <c r="C51" s="128">
        <v>58.5714285714286</v>
      </c>
      <c r="D51" s="129">
        <v>90</v>
      </c>
      <c r="E51" s="130">
        <v>52.7142857142857</v>
      </c>
      <c r="F51" s="128">
        <v>51.86</v>
      </c>
      <c r="G51" s="129">
        <v>39.3875140570503</v>
      </c>
      <c r="H51" s="130">
        <v>20.4263647899863</v>
      </c>
      <c r="I51" s="144">
        <v>110.431428571429</v>
      </c>
      <c r="J51" s="144">
        <v>66.2317344350604</v>
      </c>
      <c r="K51" s="144">
        <v>73.140650504272</v>
      </c>
    </row>
    <row r="52" spans="1:11">
      <c r="A52" s="122" t="s">
        <v>58</v>
      </c>
      <c r="B52" s="122"/>
      <c r="C52" s="123">
        <v>30</v>
      </c>
      <c r="D52" s="124">
        <v>100</v>
      </c>
      <c r="E52" s="125">
        <v>30</v>
      </c>
      <c r="F52" s="123">
        <v>26</v>
      </c>
      <c r="G52" s="124">
        <v>67.7540683977247</v>
      </c>
      <c r="H52" s="126">
        <v>17.6160577834084</v>
      </c>
      <c r="I52" s="143">
        <v>56</v>
      </c>
      <c r="J52" s="143">
        <v>85.0286746132293</v>
      </c>
      <c r="K52" s="143">
        <v>47.6160577834084</v>
      </c>
    </row>
    <row r="53" spans="1:11">
      <c r="A53" s="127" t="s">
        <v>59</v>
      </c>
      <c r="B53" s="127"/>
      <c r="C53" s="128">
        <v>22</v>
      </c>
      <c r="D53" s="129">
        <v>72</v>
      </c>
      <c r="E53" s="130">
        <v>15.84</v>
      </c>
      <c r="F53" s="128">
        <v>0</v>
      </c>
      <c r="G53" s="129">
        <v>19.3967427783117</v>
      </c>
      <c r="H53" s="130">
        <v>0</v>
      </c>
      <c r="I53" s="144">
        <v>22</v>
      </c>
      <c r="J53" s="144">
        <v>72</v>
      </c>
      <c r="K53" s="144">
        <v>15.84</v>
      </c>
    </row>
    <row r="54" spans="1:11">
      <c r="A54" s="122" t="s">
        <v>60</v>
      </c>
      <c r="B54" s="122"/>
      <c r="C54" s="123">
        <v>18</v>
      </c>
      <c r="D54" s="124">
        <v>86.9565254870434</v>
      </c>
      <c r="E54" s="125">
        <v>15.6521745876678</v>
      </c>
      <c r="F54" s="123">
        <v>8.666</v>
      </c>
      <c r="G54" s="124">
        <v>46.1573967228248</v>
      </c>
      <c r="H54" s="126">
        <v>4</v>
      </c>
      <c r="I54" s="143">
        <v>26.666</v>
      </c>
      <c r="J54" s="143">
        <v>73.6974971411828</v>
      </c>
      <c r="K54" s="143">
        <v>19.6521745876678</v>
      </c>
    </row>
    <row r="55" spans="1:11">
      <c r="A55" s="131" t="s">
        <v>61</v>
      </c>
      <c r="B55" s="131"/>
      <c r="C55" s="132">
        <v>18</v>
      </c>
      <c r="D55" s="133">
        <v>85</v>
      </c>
      <c r="E55" s="134">
        <v>15.3</v>
      </c>
      <c r="F55" s="132">
        <v>86.33</v>
      </c>
      <c r="G55" s="133">
        <v>85</v>
      </c>
      <c r="H55" s="134">
        <v>73.3805</v>
      </c>
      <c r="I55" s="133">
        <v>104.33</v>
      </c>
      <c r="J55" s="133">
        <v>85</v>
      </c>
      <c r="K55" s="133">
        <v>88.6805</v>
      </c>
    </row>
    <row r="56" spans="1:11">
      <c r="A56" s="135" t="s">
        <v>62</v>
      </c>
      <c r="B56" s="135"/>
      <c r="C56" s="136">
        <v>21.4846031746032</v>
      </c>
      <c r="D56" s="137" t="s">
        <v>56</v>
      </c>
      <c r="E56" s="138" t="s">
        <v>56</v>
      </c>
      <c r="F56" s="136">
        <v>45.1817701629801</v>
      </c>
      <c r="G56" s="137" t="s">
        <v>56</v>
      </c>
      <c r="H56" s="139" t="s">
        <v>56</v>
      </c>
      <c r="I56" s="136">
        <v>66.6663733375833</v>
      </c>
      <c r="J56" s="137" t="s">
        <v>56</v>
      </c>
      <c r="K56" s="137" t="s">
        <v>56</v>
      </c>
    </row>
    <row r="57" spans="1:11">
      <c r="A57" s="122"/>
      <c r="B57" s="122"/>
      <c r="C57" s="124"/>
      <c r="D57" s="124"/>
      <c r="E57" s="141"/>
      <c r="F57" s="124"/>
      <c r="G57" s="124"/>
      <c r="H57" s="124"/>
      <c r="I57" s="124"/>
      <c r="J57" s="143"/>
      <c r="K57" s="143"/>
    </row>
    <row r="58" ht="13.5" customHeight="1" spans="1:11">
      <c r="A58" s="142" t="s">
        <v>63</v>
      </c>
      <c r="B58" s="142"/>
      <c r="C58" s="142"/>
      <c r="D58" s="142"/>
      <c r="E58" s="142"/>
      <c r="F58" s="142"/>
      <c r="G58" s="142"/>
      <c r="H58" s="142"/>
      <c r="I58" s="142"/>
      <c r="J58" s="142"/>
      <c r="K58" s="142"/>
    </row>
    <row r="59" ht="13.5" customHeight="1" spans="1:11">
      <c r="A59" s="142"/>
      <c r="B59" s="142"/>
      <c r="C59" s="142"/>
      <c r="D59" s="142"/>
      <c r="E59" s="142"/>
      <c r="F59" s="142"/>
      <c r="G59" s="142"/>
      <c r="H59" s="142"/>
      <c r="I59" s="142"/>
      <c r="J59" s="142"/>
      <c r="K59" s="142"/>
    </row>
    <row r="60" ht="13.5" customHeight="1" spans="1:11">
      <c r="A60" s="142"/>
      <c r="B60" s="142"/>
      <c r="C60" s="142"/>
      <c r="D60" s="142"/>
      <c r="E60" s="142"/>
      <c r="F60" s="142"/>
      <c r="G60" s="142"/>
      <c r="H60" s="142"/>
      <c r="I60" s="142"/>
      <c r="J60" s="142"/>
      <c r="K60" s="142"/>
    </row>
    <row r="61" ht="13.5" customHeight="1" spans="1:11">
      <c r="A61" s="142"/>
      <c r="B61" s="142"/>
      <c r="C61" s="142"/>
      <c r="D61" s="142"/>
      <c r="E61" s="142"/>
      <c r="F61" s="142"/>
      <c r="G61" s="142"/>
      <c r="H61" s="142"/>
      <c r="I61" s="142"/>
      <c r="J61" s="142"/>
      <c r="K61" s="142"/>
    </row>
    <row r="62" ht="13.5" customHeight="1" spans="1:11">
      <c r="A62" s="142"/>
      <c r="B62" s="142"/>
      <c r="C62" s="142"/>
      <c r="D62" s="142"/>
      <c r="E62" s="142"/>
      <c r="F62" s="142"/>
      <c r="G62" s="142"/>
      <c r="H62" s="142"/>
      <c r="I62" s="142"/>
      <c r="J62" s="142"/>
      <c r="K62" s="142"/>
    </row>
    <row r="63" customHeight="1" spans="1:11">
      <c r="A63" s="142"/>
      <c r="B63" s="142"/>
      <c r="C63" s="142"/>
      <c r="D63" s="142"/>
      <c r="E63" s="142"/>
      <c r="F63" s="142"/>
      <c r="G63" s="142"/>
      <c r="H63" s="142"/>
      <c r="I63" s="142"/>
      <c r="J63" s="142"/>
      <c r="K63" s="142"/>
    </row>
    <row r="64" spans="1:11">
      <c r="A64" s="142"/>
      <c r="B64" s="142"/>
      <c r="C64" s="142"/>
      <c r="D64" s="142"/>
      <c r="E64" s="142"/>
      <c r="F64" s="142"/>
      <c r="G64" s="142"/>
      <c r="H64" s="142"/>
      <c r="I64" s="142"/>
      <c r="J64" s="142"/>
      <c r="K64" s="142"/>
    </row>
    <row r="65" ht="18" customHeight="1" spans="1:11">
      <c r="A65" s="142"/>
      <c r="B65" s="142"/>
      <c r="C65" s="142"/>
      <c r="D65" s="142"/>
      <c r="E65" s="142"/>
      <c r="F65" s="142"/>
      <c r="G65" s="142"/>
      <c r="H65" s="142"/>
      <c r="I65" s="142"/>
      <c r="J65" s="142"/>
      <c r="K65" s="142"/>
    </row>
    <row r="66" spans="1:11">
      <c r="A66" s="145" t="s">
        <v>64</v>
      </c>
      <c r="B66" s="145"/>
      <c r="C66" s="145"/>
      <c r="D66" s="145"/>
      <c r="E66" s="145"/>
      <c r="F66" s="145"/>
      <c r="G66" s="145"/>
      <c r="H66" s="145"/>
      <c r="I66" s="145"/>
      <c r="J66" s="145"/>
      <c r="K66" s="145"/>
    </row>
    <row r="67" customHeight="1"/>
    <row r="68" spans="3:11">
      <c r="C68" s="151"/>
      <c r="D68" s="151"/>
      <c r="E68" s="151"/>
      <c r="F68" s="151"/>
      <c r="G68" s="151"/>
      <c r="H68" s="151"/>
      <c r="I68" s="151"/>
      <c r="J68" s="151"/>
      <c r="K68" s="151"/>
    </row>
  </sheetData>
  <mergeCells count="16">
    <mergeCell ref="C5:E5"/>
    <mergeCell ref="F5:H5"/>
    <mergeCell ref="I5:K5"/>
    <mergeCell ref="A66:K66"/>
    <mergeCell ref="C8:C10"/>
    <mergeCell ref="D8:D10"/>
    <mergeCell ref="E8:E10"/>
    <mergeCell ref="F8:F10"/>
    <mergeCell ref="G8:G10"/>
    <mergeCell ref="H8:H10"/>
    <mergeCell ref="I8:I10"/>
    <mergeCell ref="J8:J10"/>
    <mergeCell ref="K8:K10"/>
    <mergeCell ref="A58:K65"/>
    <mergeCell ref="A1:K2"/>
    <mergeCell ref="A3:K4"/>
  </mergeCells>
  <pageMargins left="0.708661417322835" right="0.708661417322835" top="0.748031496062992" bottom="0.748031496062992" header="0.31496062992126" footer="0.31496062992126"/>
  <pageSetup paperSize="9" scale="74" orientation="portrait"/>
  <headerFooter>
    <oddHeader>&amp;LOECD Family Database (http://www.oecd.org/els/family/database.htm)</oddHeader>
    <oddFooter>&amp;C
&amp;1#&amp;"Arial Narrow"&amp;10&amp;K0000FF Unclassified - Non classifié</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K67"/>
  <sheetViews>
    <sheetView showGridLines="0" zoomScale="175" zoomScaleNormal="175" workbookViewId="0">
      <selection activeCell="C11" sqref="C11:K11"/>
    </sheetView>
  </sheetViews>
  <sheetFormatPr defaultColWidth="9" defaultRowHeight="12.75"/>
  <cols>
    <col min="1" max="1" width="10.5398230088496" customWidth="1"/>
    <col min="2" max="2" width="3.8141592920354" customWidth="1"/>
    <col min="3" max="11" width="11.4513274336283" customWidth="1"/>
  </cols>
  <sheetData>
    <row r="1" spans="1:11">
      <c r="A1" s="111" t="s">
        <v>65</v>
      </c>
      <c r="B1" s="111"/>
      <c r="C1" s="111"/>
      <c r="D1" s="111"/>
      <c r="E1" s="111"/>
      <c r="F1" s="111"/>
      <c r="G1" s="111"/>
      <c r="H1" s="111"/>
      <c r="I1" s="111"/>
      <c r="J1" s="111"/>
      <c r="K1" s="111"/>
    </row>
    <row r="2" spans="1:11">
      <c r="A2" s="111"/>
      <c r="B2" s="111"/>
      <c r="C2" s="111"/>
      <c r="D2" s="111"/>
      <c r="E2" s="111"/>
      <c r="F2" s="111"/>
      <c r="G2" s="111"/>
      <c r="H2" s="111"/>
      <c r="I2" s="111"/>
      <c r="J2" s="111"/>
      <c r="K2" s="111"/>
    </row>
    <row r="3" customHeight="1" spans="1:11">
      <c r="A3" s="112" t="s">
        <v>66</v>
      </c>
      <c r="B3" s="112"/>
      <c r="C3" s="112"/>
      <c r="D3" s="112"/>
      <c r="E3" s="112"/>
      <c r="F3" s="112"/>
      <c r="G3" s="112"/>
      <c r="H3" s="112"/>
      <c r="I3" s="112"/>
      <c r="J3" s="112"/>
      <c r="K3" s="112"/>
    </row>
    <row r="4" customHeight="1" spans="1:11">
      <c r="A4" s="112"/>
      <c r="B4" s="112"/>
      <c r="C4" s="112"/>
      <c r="D4" s="112"/>
      <c r="E4" s="112"/>
      <c r="F4" s="112"/>
      <c r="G4" s="112"/>
      <c r="H4" s="112"/>
      <c r="I4" s="112"/>
      <c r="J4" s="112"/>
      <c r="K4" s="112"/>
    </row>
    <row r="5" spans="1:11">
      <c r="A5" s="113"/>
      <c r="B5" s="113"/>
      <c r="C5" s="114"/>
      <c r="D5" s="114"/>
      <c r="E5" s="114"/>
      <c r="F5" s="115"/>
      <c r="G5" s="115"/>
      <c r="H5" s="115"/>
      <c r="I5" s="115"/>
      <c r="J5" s="115"/>
      <c r="K5" s="115"/>
    </row>
    <row r="6" ht="13.5" customHeight="1" spans="1:11">
      <c r="A6" s="116"/>
      <c r="B6" s="116"/>
      <c r="C6" s="117" t="s">
        <v>67</v>
      </c>
      <c r="D6" s="117" t="s">
        <v>67</v>
      </c>
      <c r="E6" s="117" t="s">
        <v>67</v>
      </c>
      <c r="F6" s="117" t="s">
        <v>68</v>
      </c>
      <c r="G6" s="117" t="s">
        <v>68</v>
      </c>
      <c r="H6" s="117" t="s">
        <v>68</v>
      </c>
      <c r="I6" s="117" t="s">
        <v>69</v>
      </c>
      <c r="J6" s="117" t="s">
        <v>69</v>
      </c>
      <c r="K6" s="117" t="s">
        <v>69</v>
      </c>
    </row>
    <row r="7" ht="13.5" customHeight="1" spans="1:11">
      <c r="A7" s="116"/>
      <c r="B7" s="116"/>
      <c r="C7" s="118" t="str">
        <f>_xlfn.CONCAT(C6,,C8)</f>
        <v>Paid paternity leaveLength (weeks)</v>
      </c>
      <c r="D7" s="118" t="str">
        <f t="shared" ref="D7:K7" si="0">_xlfn.CONCAT(D6,,D8)</f>
        <v>Paid paternity leaveAverage payment rate (%)</v>
      </c>
      <c r="E7" s="118" t="str">
        <f t="shared" si="0"/>
        <v>Paid paternity leaveFull-rate equivalent (weeks)</v>
      </c>
      <c r="F7" s="118" t="str">
        <f t="shared" si="0"/>
        <v>Paid parental and home care leave reserved for fathersLength (weeks)</v>
      </c>
      <c r="G7" s="118" t="str">
        <f t="shared" si="0"/>
        <v>Paid parental and home care leave reserved for fathersAverage payment rate (%)</v>
      </c>
      <c r="H7" s="118" t="str">
        <f t="shared" si="0"/>
        <v>Paid parental and home care leave reserved for fathersFull-rate equivalent (weeks)</v>
      </c>
      <c r="I7" s="118" t="str">
        <f t="shared" si="0"/>
        <v>Total paid leave reserved for fathersLength (weeks)</v>
      </c>
      <c r="J7" s="118" t="str">
        <f t="shared" si="0"/>
        <v>Total paid leave reserved for fathersAverage payment rate (%)</v>
      </c>
      <c r="K7" s="118" t="str">
        <f t="shared" si="0"/>
        <v>Total paid leave reserved for fathersFull-rate equivalent (weeks)</v>
      </c>
    </row>
    <row r="8" ht="13.5" customHeight="1" spans="1:11">
      <c r="A8" s="116"/>
      <c r="B8" s="116"/>
      <c r="C8" s="119" t="s">
        <v>5</v>
      </c>
      <c r="D8" s="120" t="s">
        <v>6</v>
      </c>
      <c r="E8" s="121" t="s">
        <v>7</v>
      </c>
      <c r="F8" s="119" t="s">
        <v>5</v>
      </c>
      <c r="G8" s="120" t="s">
        <v>6</v>
      </c>
      <c r="H8" s="121" t="s">
        <v>7</v>
      </c>
      <c r="I8" s="119" t="s">
        <v>5</v>
      </c>
      <c r="J8" s="120" t="s">
        <v>6</v>
      </c>
      <c r="K8" s="120" t="s">
        <v>7</v>
      </c>
    </row>
    <row r="9" spans="1:11">
      <c r="A9" s="116"/>
      <c r="B9" s="116"/>
      <c r="C9" s="119"/>
      <c r="D9" s="120"/>
      <c r="E9" s="121"/>
      <c r="F9" s="119"/>
      <c r="G9" s="120"/>
      <c r="H9" s="121"/>
      <c r="I9" s="119"/>
      <c r="J9" s="120"/>
      <c r="K9" s="120"/>
    </row>
    <row r="10" spans="1:11">
      <c r="A10" s="116"/>
      <c r="B10" s="116"/>
      <c r="C10" s="119"/>
      <c r="D10" s="120"/>
      <c r="E10" s="121"/>
      <c r="F10" s="119"/>
      <c r="G10" s="120"/>
      <c r="H10" s="121"/>
      <c r="I10" s="119"/>
      <c r="J10" s="120"/>
      <c r="K10" s="120"/>
    </row>
    <row r="11" ht="13.5" customHeight="1" spans="1:11">
      <c r="A11" s="116"/>
      <c r="B11" s="116"/>
      <c r="C11" s="118" t="s">
        <v>70</v>
      </c>
      <c r="D11" s="118" t="s">
        <v>71</v>
      </c>
      <c r="E11" s="118" t="s">
        <v>72</v>
      </c>
      <c r="F11" s="118" t="s">
        <v>73</v>
      </c>
      <c r="G11" s="118" t="s">
        <v>74</v>
      </c>
      <c r="H11" s="118" t="s">
        <v>75</v>
      </c>
      <c r="I11" s="118" t="s">
        <v>76</v>
      </c>
      <c r="J11" s="118" t="s">
        <v>77</v>
      </c>
      <c r="K11" s="118" t="s">
        <v>78</v>
      </c>
    </row>
    <row r="12" spans="1:11">
      <c r="A12" s="122" t="s">
        <v>17</v>
      </c>
      <c r="B12" s="122"/>
      <c r="C12" s="123">
        <v>0</v>
      </c>
      <c r="D12" s="124">
        <v>0</v>
      </c>
      <c r="E12" s="125">
        <v>0</v>
      </c>
      <c r="F12" s="123">
        <v>2</v>
      </c>
      <c r="G12" s="124">
        <v>46.1056899840349</v>
      </c>
      <c r="H12" s="126">
        <v>0.922113799680698</v>
      </c>
      <c r="I12" s="143">
        <v>2</v>
      </c>
      <c r="J12" s="143">
        <v>46.1056899840349</v>
      </c>
      <c r="K12" s="143">
        <v>0.922113799680698</v>
      </c>
    </row>
    <row r="13" spans="1:11">
      <c r="A13" s="127" t="s">
        <v>18</v>
      </c>
      <c r="B13" s="127"/>
      <c r="C13" s="128">
        <v>4.33</v>
      </c>
      <c r="D13" s="129">
        <v>56.6276782768084</v>
      </c>
      <c r="E13" s="130">
        <v>2.4519784693858</v>
      </c>
      <c r="F13" s="128">
        <v>8.666666</v>
      </c>
      <c r="G13" s="129">
        <v>80.0307753869827</v>
      </c>
      <c r="H13" s="130">
        <v>6.936</v>
      </c>
      <c r="I13" s="144">
        <v>12.996666</v>
      </c>
      <c r="J13" s="144">
        <v>72.2337441724347</v>
      </c>
      <c r="K13" s="144">
        <v>9.38797846938581</v>
      </c>
    </row>
    <row r="14" spans="1:11">
      <c r="A14" s="122" t="s">
        <v>19</v>
      </c>
      <c r="B14" s="122"/>
      <c r="C14" s="123">
        <v>4</v>
      </c>
      <c r="D14" s="124">
        <v>78.6204875149966</v>
      </c>
      <c r="E14" s="125">
        <v>3.14481950059986</v>
      </c>
      <c r="F14" s="123">
        <v>17.3333333333333</v>
      </c>
      <c r="G14" s="124">
        <v>20.1941104390291</v>
      </c>
      <c r="H14" s="126">
        <v>3.50031247609837</v>
      </c>
      <c r="I14" s="143">
        <v>21.3333333333333</v>
      </c>
      <c r="J14" s="143">
        <v>31.149056140773</v>
      </c>
      <c r="K14" s="143">
        <v>6.64513197669824</v>
      </c>
    </row>
    <row r="15" spans="1:11">
      <c r="A15" s="127" t="s">
        <v>20</v>
      </c>
      <c r="B15" s="127"/>
      <c r="C15" s="128">
        <v>0</v>
      </c>
      <c r="D15" s="129">
        <v>0</v>
      </c>
      <c r="E15" s="130">
        <v>0</v>
      </c>
      <c r="F15" s="128">
        <v>5</v>
      </c>
      <c r="G15" s="129">
        <v>40.4992947604975</v>
      </c>
      <c r="H15" s="130">
        <v>2.02496473802488</v>
      </c>
      <c r="I15" s="144">
        <v>5</v>
      </c>
      <c r="J15" s="144">
        <v>40.4992947604975</v>
      </c>
      <c r="K15" s="144">
        <v>2.02496473802488</v>
      </c>
    </row>
    <row r="16" spans="1:11">
      <c r="A16" s="122" t="s">
        <v>21</v>
      </c>
      <c r="B16" s="122"/>
      <c r="C16" s="123">
        <v>1</v>
      </c>
      <c r="D16" s="124">
        <v>100</v>
      </c>
      <c r="E16" s="125">
        <v>1</v>
      </c>
      <c r="F16" s="123">
        <v>0</v>
      </c>
      <c r="G16" s="124">
        <v>0</v>
      </c>
      <c r="H16" s="126">
        <v>0</v>
      </c>
      <c r="I16" s="143">
        <v>1</v>
      </c>
      <c r="J16" s="143">
        <v>100</v>
      </c>
      <c r="K16" s="143">
        <v>1</v>
      </c>
    </row>
    <row r="17" spans="1:11">
      <c r="A17" s="127" t="s">
        <v>22</v>
      </c>
      <c r="B17" s="127"/>
      <c r="C17" s="128">
        <v>2.8</v>
      </c>
      <c r="D17" s="129">
        <v>100</v>
      </c>
      <c r="E17" s="130">
        <v>2.8</v>
      </c>
      <c r="F17" s="128">
        <v>0</v>
      </c>
      <c r="G17" s="129">
        <v>0</v>
      </c>
      <c r="H17" s="130">
        <v>0</v>
      </c>
      <c r="I17" s="144">
        <v>2.8</v>
      </c>
      <c r="J17" s="144">
        <v>100</v>
      </c>
      <c r="K17" s="144">
        <v>2.8</v>
      </c>
    </row>
    <row r="18" spans="1:11">
      <c r="A18" s="122" t="s">
        <v>23</v>
      </c>
      <c r="B18" s="122"/>
      <c r="C18" s="123">
        <v>1.6</v>
      </c>
      <c r="D18" s="124">
        <v>100</v>
      </c>
      <c r="E18" s="125">
        <v>1.6</v>
      </c>
      <c r="F18" s="123">
        <v>0</v>
      </c>
      <c r="G18" s="124">
        <v>0</v>
      </c>
      <c r="H18" s="126">
        <v>0</v>
      </c>
      <c r="I18" s="143">
        <v>1.6</v>
      </c>
      <c r="J18" s="143">
        <v>100</v>
      </c>
      <c r="K18" s="143">
        <v>1.6</v>
      </c>
    </row>
    <row r="19" spans="1:11">
      <c r="A19" s="127" t="s">
        <v>24</v>
      </c>
      <c r="B19" s="127"/>
      <c r="C19" s="128">
        <v>2</v>
      </c>
      <c r="D19" s="129">
        <v>62.5459756704829</v>
      </c>
      <c r="E19" s="130">
        <v>1.25091951340966</v>
      </c>
      <c r="F19" s="128">
        <v>0</v>
      </c>
      <c r="G19" s="129">
        <v>0</v>
      </c>
      <c r="H19" s="130">
        <v>0</v>
      </c>
      <c r="I19" s="144">
        <v>2</v>
      </c>
      <c r="J19" s="144">
        <v>62.5459756704829</v>
      </c>
      <c r="K19" s="144">
        <v>1.25091951340966</v>
      </c>
    </row>
    <row r="20" spans="1:11">
      <c r="A20" s="122" t="s">
        <v>25</v>
      </c>
      <c r="B20" s="122"/>
      <c r="C20" s="123">
        <v>2</v>
      </c>
      <c r="D20" s="124">
        <v>49.6970221170345</v>
      </c>
      <c r="E20" s="125">
        <v>0.99394044234069</v>
      </c>
      <c r="F20" s="123">
        <v>9</v>
      </c>
      <c r="G20" s="124">
        <v>49.6970221170345</v>
      </c>
      <c r="H20" s="126">
        <v>4.47273199053311</v>
      </c>
      <c r="I20" s="143">
        <v>11</v>
      </c>
      <c r="J20" s="143">
        <v>49.6970221170345</v>
      </c>
      <c r="K20" s="143">
        <v>5.4666724328738</v>
      </c>
    </row>
    <row r="21" spans="1:11">
      <c r="A21" s="127" t="s">
        <v>26</v>
      </c>
      <c r="B21" s="127"/>
      <c r="C21" s="128">
        <v>4.28571428571429</v>
      </c>
      <c r="D21" s="129">
        <v>100</v>
      </c>
      <c r="E21" s="130">
        <v>4.28571428571429</v>
      </c>
      <c r="F21" s="128">
        <v>0</v>
      </c>
      <c r="G21" s="129">
        <v>0</v>
      </c>
      <c r="H21" s="130">
        <v>0</v>
      </c>
      <c r="I21" s="144">
        <v>4.28571428571429</v>
      </c>
      <c r="J21" s="144">
        <v>100</v>
      </c>
      <c r="K21" s="144">
        <v>4.28571428571429</v>
      </c>
    </row>
    <row r="22" spans="1:11">
      <c r="A22" s="122" t="s">
        <v>27</v>
      </c>
      <c r="B22" s="122"/>
      <c r="C22" s="123">
        <v>3</v>
      </c>
      <c r="D22" s="124">
        <v>82.020491438742</v>
      </c>
      <c r="E22" s="125">
        <v>2.46061474316226</v>
      </c>
      <c r="F22" s="123">
        <v>13.166</v>
      </c>
      <c r="G22" s="124">
        <v>62.3466377347366</v>
      </c>
      <c r="H22" s="126">
        <v>8.20855832415543</v>
      </c>
      <c r="I22" s="143">
        <v>16.166</v>
      </c>
      <c r="J22" s="143">
        <v>65.9976065032642</v>
      </c>
      <c r="K22" s="143">
        <v>10.6691730673177</v>
      </c>
    </row>
    <row r="23" spans="1:11">
      <c r="A23" s="127" t="s">
        <v>28</v>
      </c>
      <c r="B23" s="127"/>
      <c r="C23" s="128">
        <v>4.17</v>
      </c>
      <c r="D23" s="129">
        <v>100</v>
      </c>
      <c r="E23" s="130">
        <v>4.17</v>
      </c>
      <c r="F23" s="128">
        <v>26</v>
      </c>
      <c r="G23" s="129">
        <v>14.5113669271446</v>
      </c>
      <c r="H23" s="130">
        <v>3.77295540105759</v>
      </c>
      <c r="I23" s="144">
        <v>30.17</v>
      </c>
      <c r="J23" s="144">
        <v>26.3273298013178</v>
      </c>
      <c r="K23" s="144">
        <v>7.94295540105759</v>
      </c>
    </row>
    <row r="24" spans="1:11">
      <c r="A24" s="122" t="s">
        <v>29</v>
      </c>
      <c r="B24" s="122"/>
      <c r="C24" s="123">
        <v>0</v>
      </c>
      <c r="D24" s="124">
        <v>0</v>
      </c>
      <c r="E24" s="125">
        <v>0</v>
      </c>
      <c r="F24" s="123">
        <v>8.6666</v>
      </c>
      <c r="G24" s="124">
        <v>65.2505019269379</v>
      </c>
      <c r="H24" s="126">
        <v>5.655</v>
      </c>
      <c r="I24" s="143">
        <v>8.6666</v>
      </c>
      <c r="J24" s="143">
        <v>65.2505019269379</v>
      </c>
      <c r="K24" s="143">
        <v>5.655</v>
      </c>
    </row>
    <row r="25" spans="1:11">
      <c r="A25" s="127" t="s">
        <v>30</v>
      </c>
      <c r="B25" s="127"/>
      <c r="C25" s="128">
        <v>2.8</v>
      </c>
      <c r="D25" s="129">
        <v>100</v>
      </c>
      <c r="E25" s="130">
        <v>2.8</v>
      </c>
      <c r="F25" s="128">
        <v>8.666666</v>
      </c>
      <c r="G25" s="129">
        <v>43.0127252888654</v>
      </c>
      <c r="H25" s="130">
        <v>3.7277692382835</v>
      </c>
      <c r="I25" s="144">
        <v>11.466666</v>
      </c>
      <c r="J25" s="144">
        <v>56.92822341109</v>
      </c>
      <c r="K25" s="144">
        <v>6.5277692382835</v>
      </c>
    </row>
    <row r="26" spans="1:11">
      <c r="A26" s="122" t="s">
        <v>31</v>
      </c>
      <c r="B26" s="122"/>
      <c r="C26" s="123">
        <v>2</v>
      </c>
      <c r="D26" s="124">
        <v>70</v>
      </c>
      <c r="E26" s="125">
        <v>1.4</v>
      </c>
      <c r="F26" s="123">
        <v>8.8</v>
      </c>
      <c r="G26" s="124">
        <v>10</v>
      </c>
      <c r="H26" s="126">
        <v>0.88</v>
      </c>
      <c r="I26" s="143">
        <v>10.8</v>
      </c>
      <c r="J26" s="143">
        <v>21.1111111111111</v>
      </c>
      <c r="K26" s="143">
        <v>2.28</v>
      </c>
    </row>
    <row r="27" spans="1:11">
      <c r="A27" s="127" t="s">
        <v>32</v>
      </c>
      <c r="B27" s="127"/>
      <c r="C27" s="128">
        <v>0</v>
      </c>
      <c r="D27" s="129">
        <v>0</v>
      </c>
      <c r="E27" s="130">
        <v>0</v>
      </c>
      <c r="F27" s="128">
        <v>20</v>
      </c>
      <c r="G27" s="129">
        <v>68.886337543054</v>
      </c>
      <c r="H27" s="130">
        <v>13.7772675086108</v>
      </c>
      <c r="I27" s="144">
        <v>20</v>
      </c>
      <c r="J27" s="144">
        <v>68.886337543054</v>
      </c>
      <c r="K27" s="144">
        <v>13.7772675086108</v>
      </c>
    </row>
    <row r="28" spans="1:11">
      <c r="A28" s="122" t="s">
        <v>33</v>
      </c>
      <c r="B28" s="122"/>
      <c r="C28" s="123">
        <v>2</v>
      </c>
      <c r="D28" s="124">
        <v>23.5892982835077</v>
      </c>
      <c r="E28" s="125">
        <v>0.471785965670155</v>
      </c>
      <c r="F28" s="123">
        <v>7</v>
      </c>
      <c r="G28" s="124">
        <v>23.5892982835077</v>
      </c>
      <c r="H28" s="126">
        <v>1.65125087984554</v>
      </c>
      <c r="I28" s="143">
        <v>9</v>
      </c>
      <c r="J28" s="143">
        <v>23.5892982835077</v>
      </c>
      <c r="K28" s="143">
        <v>2.1230368455157</v>
      </c>
    </row>
    <row r="29" spans="1:11">
      <c r="A29" s="127" t="s">
        <v>34</v>
      </c>
      <c r="B29" s="127"/>
      <c r="C29" s="128">
        <v>0</v>
      </c>
      <c r="D29" s="129">
        <v>0</v>
      </c>
      <c r="E29" s="130">
        <v>0</v>
      </c>
      <c r="F29" s="128">
        <v>0</v>
      </c>
      <c r="G29" s="129">
        <v>0</v>
      </c>
      <c r="H29" s="130">
        <v>0</v>
      </c>
      <c r="I29" s="144">
        <v>0</v>
      </c>
      <c r="J29" s="144">
        <v>0</v>
      </c>
      <c r="K29" s="144">
        <v>0</v>
      </c>
    </row>
    <row r="30" spans="1:11">
      <c r="A30" s="122" t="s">
        <v>35</v>
      </c>
      <c r="B30" s="122"/>
      <c r="C30" s="123">
        <v>2</v>
      </c>
      <c r="D30" s="124">
        <v>100</v>
      </c>
      <c r="E30" s="125">
        <v>2</v>
      </c>
      <c r="F30" s="123">
        <v>13</v>
      </c>
      <c r="G30" s="124">
        <v>30</v>
      </c>
      <c r="H30" s="126">
        <v>3.9</v>
      </c>
      <c r="I30" s="143">
        <v>15</v>
      </c>
      <c r="J30" s="143">
        <v>39.3333333333333</v>
      </c>
      <c r="K30" s="143">
        <v>5.9</v>
      </c>
    </row>
    <row r="31" spans="1:11">
      <c r="A31" s="127" t="s">
        <v>36</v>
      </c>
      <c r="B31" s="127"/>
      <c r="C31" s="128">
        <v>4</v>
      </c>
      <c r="D31" s="129">
        <v>67</v>
      </c>
      <c r="E31" s="130">
        <v>2.68</v>
      </c>
      <c r="F31" s="128">
        <v>48</v>
      </c>
      <c r="G31" s="129">
        <v>59.1071428571429</v>
      </c>
      <c r="H31" s="130">
        <v>28.3714285714286</v>
      </c>
      <c r="I31" s="144">
        <v>52</v>
      </c>
      <c r="J31" s="144">
        <v>59.7142857142857</v>
      </c>
      <c r="K31" s="144">
        <v>31.0514285714286</v>
      </c>
    </row>
    <row r="32" spans="1:11">
      <c r="A32" s="122" t="s">
        <v>37</v>
      </c>
      <c r="B32" s="122"/>
      <c r="C32" s="123">
        <v>2</v>
      </c>
      <c r="D32" s="124">
        <v>100</v>
      </c>
      <c r="E32" s="125">
        <v>2</v>
      </c>
      <c r="F32" s="123">
        <v>52</v>
      </c>
      <c r="G32" s="124">
        <v>52.3925421786634</v>
      </c>
      <c r="H32" s="126">
        <v>27.244121932905</v>
      </c>
      <c r="I32" s="143">
        <v>54</v>
      </c>
      <c r="J32" s="143">
        <v>54.1557813572315</v>
      </c>
      <c r="K32" s="143">
        <v>29.244121932905</v>
      </c>
    </row>
    <row r="33" spans="1:11">
      <c r="A33" s="127" t="s">
        <v>38</v>
      </c>
      <c r="B33" s="127"/>
      <c r="C33" s="128">
        <v>2</v>
      </c>
      <c r="D33" s="129">
        <v>80</v>
      </c>
      <c r="E33" s="130">
        <v>1.6</v>
      </c>
      <c r="F33" s="128">
        <v>8.666</v>
      </c>
      <c r="G33" s="129">
        <v>60</v>
      </c>
      <c r="H33" s="130">
        <v>5.1996</v>
      </c>
      <c r="I33" s="144">
        <v>10.666</v>
      </c>
      <c r="J33" s="144">
        <v>63.7502343896494</v>
      </c>
      <c r="K33" s="144">
        <v>6.7996</v>
      </c>
    </row>
    <row r="34" spans="1:11">
      <c r="A34" s="122" t="s">
        <v>39</v>
      </c>
      <c r="B34" s="122"/>
      <c r="C34" s="123">
        <v>4</v>
      </c>
      <c r="D34" s="124">
        <v>77.58</v>
      </c>
      <c r="E34" s="125">
        <v>3.1032</v>
      </c>
      <c r="F34" s="123">
        <v>8.666</v>
      </c>
      <c r="G34" s="124">
        <v>77.58</v>
      </c>
      <c r="H34" s="126">
        <v>6.7230828</v>
      </c>
      <c r="I34" s="143">
        <v>12.666</v>
      </c>
      <c r="J34" s="143">
        <v>77.58</v>
      </c>
      <c r="K34" s="143">
        <v>9.8262828</v>
      </c>
    </row>
    <row r="35" spans="1:11">
      <c r="A35" s="127" t="s">
        <v>40</v>
      </c>
      <c r="B35" s="127"/>
      <c r="C35" s="128">
        <v>2</v>
      </c>
      <c r="D35" s="129">
        <v>100</v>
      </c>
      <c r="E35" s="130">
        <v>2</v>
      </c>
      <c r="F35" s="128">
        <v>26</v>
      </c>
      <c r="G35" s="129">
        <v>71.1133603465639</v>
      </c>
      <c r="H35" s="130">
        <v>18.4894736901066</v>
      </c>
      <c r="I35" s="144">
        <v>28</v>
      </c>
      <c r="J35" s="144">
        <v>73.1766917503807</v>
      </c>
      <c r="K35" s="144">
        <v>20.4894736901066</v>
      </c>
    </row>
    <row r="36" spans="1:11">
      <c r="A36" s="122" t="s">
        <v>41</v>
      </c>
      <c r="B36" s="122"/>
      <c r="C36" s="123">
        <v>1</v>
      </c>
      <c r="D36" s="124">
        <v>100</v>
      </c>
      <c r="E36" s="125">
        <v>1</v>
      </c>
      <c r="F36" s="123">
        <v>0</v>
      </c>
      <c r="G36" s="124">
        <v>0</v>
      </c>
      <c r="H36" s="126">
        <v>0</v>
      </c>
      <c r="I36" s="143">
        <v>1</v>
      </c>
      <c r="J36" s="143">
        <v>100</v>
      </c>
      <c r="K36" s="143">
        <v>1</v>
      </c>
    </row>
    <row r="37" spans="1:11">
      <c r="A37" s="127" t="s">
        <v>42</v>
      </c>
      <c r="B37" s="127"/>
      <c r="C37" s="128">
        <v>6</v>
      </c>
      <c r="D37" s="129">
        <v>84.1113552259456</v>
      </c>
      <c r="E37" s="130">
        <v>5.04668131355674</v>
      </c>
      <c r="F37" s="128">
        <v>9</v>
      </c>
      <c r="G37" s="129">
        <v>70</v>
      </c>
      <c r="H37" s="130">
        <v>6.3</v>
      </c>
      <c r="I37" s="144">
        <v>15</v>
      </c>
      <c r="J37" s="144">
        <v>75.6445420903783</v>
      </c>
      <c r="K37" s="144">
        <v>11.3466813135567</v>
      </c>
    </row>
    <row r="38" spans="1:11">
      <c r="A38" s="122" t="s">
        <v>43</v>
      </c>
      <c r="B38" s="122"/>
      <c r="C38" s="123">
        <v>0</v>
      </c>
      <c r="D38" s="124">
        <v>0</v>
      </c>
      <c r="E38" s="125">
        <v>0</v>
      </c>
      <c r="F38" s="123">
        <v>0</v>
      </c>
      <c r="G38" s="124">
        <v>0</v>
      </c>
      <c r="H38" s="126">
        <v>0</v>
      </c>
      <c r="I38" s="143">
        <v>0</v>
      </c>
      <c r="J38" s="143">
        <v>0</v>
      </c>
      <c r="K38" s="143">
        <v>0</v>
      </c>
    </row>
    <row r="39" spans="1:11">
      <c r="A39" s="127" t="s">
        <v>44</v>
      </c>
      <c r="B39" s="127"/>
      <c r="C39" s="128">
        <v>0</v>
      </c>
      <c r="D39" s="129">
        <v>0</v>
      </c>
      <c r="E39" s="130">
        <v>0</v>
      </c>
      <c r="F39" s="128">
        <v>15</v>
      </c>
      <c r="G39" s="129">
        <v>98.1630305713044</v>
      </c>
      <c r="H39" s="130">
        <v>14.7244545856957</v>
      </c>
      <c r="I39" s="144">
        <v>15</v>
      </c>
      <c r="J39" s="144">
        <v>98.1630305713044</v>
      </c>
      <c r="K39" s="144">
        <v>14.7244545856957</v>
      </c>
    </row>
    <row r="40" spans="1:11">
      <c r="A40" s="122" t="s">
        <v>45</v>
      </c>
      <c r="B40" s="122"/>
      <c r="C40" s="123">
        <v>2</v>
      </c>
      <c r="D40" s="124">
        <v>100</v>
      </c>
      <c r="E40" s="125">
        <v>2</v>
      </c>
      <c r="F40" s="123">
        <v>9</v>
      </c>
      <c r="G40" s="124">
        <v>70</v>
      </c>
      <c r="H40" s="126">
        <v>6.3</v>
      </c>
      <c r="I40" s="143">
        <v>11</v>
      </c>
      <c r="J40" s="143">
        <v>75.4545454545455</v>
      </c>
      <c r="K40" s="143">
        <v>8.3</v>
      </c>
    </row>
    <row r="41" spans="1:11">
      <c r="A41" s="127" t="s">
        <v>46</v>
      </c>
      <c r="B41" s="127"/>
      <c r="C41" s="128">
        <v>5</v>
      </c>
      <c r="D41" s="129">
        <v>100</v>
      </c>
      <c r="E41" s="130">
        <v>5</v>
      </c>
      <c r="F41" s="128">
        <v>17.2857142857143</v>
      </c>
      <c r="G41" s="129">
        <v>54.8760330578512</v>
      </c>
      <c r="H41" s="130">
        <v>9.48571428571429</v>
      </c>
      <c r="I41" s="144">
        <v>22.2857142857143</v>
      </c>
      <c r="J41" s="144">
        <v>65</v>
      </c>
      <c r="K41" s="144">
        <v>14.4857142857143</v>
      </c>
    </row>
    <row r="42" spans="1:11">
      <c r="A42" s="122" t="s">
        <v>47</v>
      </c>
      <c r="B42" s="122"/>
      <c r="C42" s="123">
        <v>2</v>
      </c>
      <c r="D42" s="124">
        <v>75</v>
      </c>
      <c r="E42" s="125">
        <v>1.5</v>
      </c>
      <c r="F42" s="123">
        <v>26</v>
      </c>
      <c r="G42" s="124">
        <v>75</v>
      </c>
      <c r="H42" s="126">
        <v>19.5</v>
      </c>
      <c r="I42" s="143">
        <v>28</v>
      </c>
      <c r="J42" s="143">
        <v>75</v>
      </c>
      <c r="K42" s="143">
        <v>21</v>
      </c>
    </row>
    <row r="43" spans="1:11">
      <c r="A43" s="127" t="s">
        <v>48</v>
      </c>
      <c r="B43" s="127"/>
      <c r="C43" s="128">
        <v>2.14285714285714</v>
      </c>
      <c r="D43" s="129">
        <v>100</v>
      </c>
      <c r="E43" s="130">
        <v>2.14285714285714</v>
      </c>
      <c r="F43" s="128">
        <v>8.57142857142857</v>
      </c>
      <c r="G43" s="129">
        <v>100</v>
      </c>
      <c r="H43" s="130">
        <v>8.57142857142857</v>
      </c>
      <c r="I43" s="144">
        <v>10.7142857142857</v>
      </c>
      <c r="J43" s="144">
        <v>100</v>
      </c>
      <c r="K43" s="144">
        <v>10.7142857142857</v>
      </c>
    </row>
    <row r="44" spans="1:11">
      <c r="A44" s="122" t="s">
        <v>49</v>
      </c>
      <c r="B44" s="122"/>
      <c r="C44" s="123">
        <v>16</v>
      </c>
      <c r="D44" s="124">
        <v>100</v>
      </c>
      <c r="E44" s="125">
        <v>16</v>
      </c>
      <c r="F44" s="123">
        <v>0</v>
      </c>
      <c r="G44" s="124">
        <v>0</v>
      </c>
      <c r="H44" s="126">
        <v>0</v>
      </c>
      <c r="I44" s="143">
        <v>16</v>
      </c>
      <c r="J44" s="143">
        <v>100</v>
      </c>
      <c r="K44" s="143">
        <v>16</v>
      </c>
    </row>
    <row r="45" spans="1:11">
      <c r="A45" s="127" t="s">
        <v>50</v>
      </c>
      <c r="B45" s="127"/>
      <c r="C45" s="128">
        <v>1.42857142857143</v>
      </c>
      <c r="D45" s="129">
        <v>64.9853418287713</v>
      </c>
      <c r="E45" s="130">
        <v>0.928362026125304</v>
      </c>
      <c r="F45" s="128">
        <v>12.8571428571429</v>
      </c>
      <c r="G45" s="129">
        <v>77.6</v>
      </c>
      <c r="H45" s="130">
        <v>9.97714285714286</v>
      </c>
      <c r="I45" s="144">
        <v>14.2857142857143</v>
      </c>
      <c r="J45" s="144">
        <v>76.3385341828771</v>
      </c>
      <c r="K45" s="144">
        <v>10.9055048832682</v>
      </c>
    </row>
    <row r="46" spans="1:11">
      <c r="A46" s="122" t="s">
        <v>51</v>
      </c>
      <c r="B46" s="122"/>
      <c r="C46" s="123">
        <v>2</v>
      </c>
      <c r="D46" s="124">
        <v>55.8866758007562</v>
      </c>
      <c r="E46" s="125">
        <v>1.11773351601512</v>
      </c>
      <c r="F46" s="123">
        <v>0</v>
      </c>
      <c r="G46" s="124">
        <v>0</v>
      </c>
      <c r="H46" s="126">
        <v>0</v>
      </c>
      <c r="I46" s="143">
        <v>2</v>
      </c>
      <c r="J46" s="143">
        <v>55.8866758007562</v>
      </c>
      <c r="K46" s="143">
        <v>1.11773351601512</v>
      </c>
    </row>
    <row r="47" spans="1:11">
      <c r="A47" s="127" t="s">
        <v>52</v>
      </c>
      <c r="B47" s="127"/>
      <c r="C47" s="128">
        <v>1</v>
      </c>
      <c r="D47" s="129">
        <v>100</v>
      </c>
      <c r="E47" s="130">
        <v>1</v>
      </c>
      <c r="F47" s="128">
        <v>0</v>
      </c>
      <c r="G47" s="129">
        <v>0</v>
      </c>
      <c r="H47" s="130">
        <v>0</v>
      </c>
      <c r="I47" s="144">
        <v>1</v>
      </c>
      <c r="J47" s="144">
        <v>100</v>
      </c>
      <c r="K47" s="144">
        <v>1</v>
      </c>
    </row>
    <row r="48" spans="1:11">
      <c r="A48" s="122" t="s">
        <v>53</v>
      </c>
      <c r="B48" s="122"/>
      <c r="C48" s="123">
        <v>2</v>
      </c>
      <c r="D48" s="124">
        <v>20.4303468035754</v>
      </c>
      <c r="E48" s="125">
        <v>0.408606936071508</v>
      </c>
      <c r="F48" s="123">
        <v>0</v>
      </c>
      <c r="G48" s="124">
        <v>0</v>
      </c>
      <c r="H48" s="126">
        <v>0</v>
      </c>
      <c r="I48" s="143">
        <v>2</v>
      </c>
      <c r="J48" s="143">
        <v>20.4303468035754</v>
      </c>
      <c r="K48" s="143">
        <v>0.408606936071508</v>
      </c>
    </row>
    <row r="49" spans="1:11">
      <c r="A49" s="131" t="s">
        <v>54</v>
      </c>
      <c r="B49" s="131"/>
      <c r="C49" s="132">
        <v>0</v>
      </c>
      <c r="D49" s="133">
        <v>0</v>
      </c>
      <c r="E49" s="134">
        <v>0</v>
      </c>
      <c r="F49" s="132">
        <v>0</v>
      </c>
      <c r="G49" s="133">
        <v>0</v>
      </c>
      <c r="H49" s="134">
        <v>0</v>
      </c>
      <c r="I49" s="133">
        <v>0</v>
      </c>
      <c r="J49" s="133">
        <v>0</v>
      </c>
      <c r="K49" s="133">
        <v>0</v>
      </c>
    </row>
    <row r="50" spans="1:11">
      <c r="A50" s="135" t="s">
        <v>55</v>
      </c>
      <c r="B50" s="135"/>
      <c r="C50" s="136">
        <v>2.43571428571429</v>
      </c>
      <c r="D50" s="137" t="s">
        <v>56</v>
      </c>
      <c r="E50" s="138" t="s">
        <v>56</v>
      </c>
      <c r="F50" s="136">
        <v>10.219619764411</v>
      </c>
      <c r="G50" s="137" t="s">
        <v>56</v>
      </c>
      <c r="H50" s="139" t="s">
        <v>56</v>
      </c>
      <c r="I50" s="136">
        <v>12.6553340501253</v>
      </c>
      <c r="J50" s="137" t="s">
        <v>56</v>
      </c>
      <c r="K50" s="137" t="s">
        <v>56</v>
      </c>
    </row>
    <row r="51" spans="1:11">
      <c r="A51" s="127" t="s">
        <v>57</v>
      </c>
      <c r="B51" s="127"/>
      <c r="C51" s="128">
        <v>2.14285714285714</v>
      </c>
      <c r="D51" s="129">
        <v>90</v>
      </c>
      <c r="E51" s="130">
        <v>1.92857142857143</v>
      </c>
      <c r="F51" s="128">
        <v>0</v>
      </c>
      <c r="G51" s="129">
        <v>0</v>
      </c>
      <c r="H51" s="130">
        <v>0</v>
      </c>
      <c r="I51" s="144">
        <v>2.14285714285714</v>
      </c>
      <c r="J51" s="144">
        <v>90</v>
      </c>
      <c r="K51" s="144">
        <v>1.92857142857143</v>
      </c>
    </row>
    <row r="52" spans="1:11">
      <c r="A52" s="122" t="s">
        <v>58</v>
      </c>
      <c r="B52" s="122"/>
      <c r="C52" s="123">
        <v>2</v>
      </c>
      <c r="D52" s="124">
        <v>100</v>
      </c>
      <c r="E52" s="125">
        <v>2</v>
      </c>
      <c r="F52" s="123">
        <v>8.6666</v>
      </c>
      <c r="G52" s="124">
        <v>67.7540683977247</v>
      </c>
      <c r="H52" s="126">
        <v>5.87197409175721</v>
      </c>
      <c r="I52" s="143">
        <v>10.6666</v>
      </c>
      <c r="J52" s="143">
        <v>73.8002183615886</v>
      </c>
      <c r="K52" s="143">
        <v>7.87197409175721</v>
      </c>
    </row>
    <row r="53" spans="1:11">
      <c r="A53" s="127" t="s">
        <v>59</v>
      </c>
      <c r="B53" s="127"/>
      <c r="C53" s="128">
        <v>2</v>
      </c>
      <c r="D53" s="129">
        <v>72</v>
      </c>
      <c r="E53" s="130">
        <v>1.44</v>
      </c>
      <c r="F53" s="128">
        <v>0</v>
      </c>
      <c r="G53" s="129">
        <v>0</v>
      </c>
      <c r="H53" s="130">
        <v>0</v>
      </c>
      <c r="I53" s="144">
        <v>2</v>
      </c>
      <c r="J53" s="144">
        <v>72</v>
      </c>
      <c r="K53" s="144">
        <v>1.44</v>
      </c>
    </row>
    <row r="54" spans="1:11">
      <c r="A54" s="122" t="s">
        <v>60</v>
      </c>
      <c r="B54" s="122"/>
      <c r="C54" s="123">
        <v>2</v>
      </c>
      <c r="D54" s="124">
        <v>100</v>
      </c>
      <c r="E54" s="125">
        <v>2</v>
      </c>
      <c r="F54" s="123">
        <v>8.666</v>
      </c>
      <c r="G54" s="124">
        <v>50</v>
      </c>
      <c r="H54" s="126">
        <v>4.333</v>
      </c>
      <c r="I54" s="143">
        <v>10.666</v>
      </c>
      <c r="J54" s="143">
        <v>59.3755859741234</v>
      </c>
      <c r="K54" s="143">
        <v>6.333</v>
      </c>
    </row>
    <row r="55" spans="1:11">
      <c r="A55" s="131" t="s">
        <v>61</v>
      </c>
      <c r="B55" s="131"/>
      <c r="C55" s="132">
        <v>2</v>
      </c>
      <c r="D55" s="133">
        <v>100</v>
      </c>
      <c r="E55" s="134">
        <v>2</v>
      </c>
      <c r="F55" s="132">
        <v>8.666</v>
      </c>
      <c r="G55" s="133">
        <v>85</v>
      </c>
      <c r="H55" s="134">
        <v>7.3661</v>
      </c>
      <c r="I55" s="133">
        <v>10.666</v>
      </c>
      <c r="J55" s="133">
        <v>87.812675792237</v>
      </c>
      <c r="K55" s="133">
        <v>9.3661</v>
      </c>
    </row>
    <row r="56" spans="1:11">
      <c r="A56" s="135" t="s">
        <v>62</v>
      </c>
      <c r="B56" s="135"/>
      <c r="C56" s="136">
        <v>3.15925925925926</v>
      </c>
      <c r="D56" s="137" t="s">
        <v>56</v>
      </c>
      <c r="E56" s="138" t="s">
        <v>56</v>
      </c>
      <c r="F56" s="136">
        <v>10.0868204091711</v>
      </c>
      <c r="G56" s="137" t="s">
        <v>56</v>
      </c>
      <c r="H56" s="139" t="s">
        <v>56</v>
      </c>
      <c r="I56" s="137">
        <v>13.2460796684303</v>
      </c>
      <c r="J56" s="137" t="s">
        <v>56</v>
      </c>
      <c r="K56" s="137" t="s">
        <v>56</v>
      </c>
    </row>
    <row r="57" s="110" customFormat="1" spans="1:11">
      <c r="A57" s="140"/>
      <c r="B57" s="140"/>
      <c r="C57" s="124"/>
      <c r="D57" s="124"/>
      <c r="E57" s="141"/>
      <c r="F57" s="124"/>
      <c r="G57" s="124"/>
      <c r="H57" s="124"/>
      <c r="I57" s="124"/>
      <c r="J57" s="124"/>
      <c r="K57" s="124"/>
    </row>
    <row r="58" ht="13.5" customHeight="1" spans="1:11">
      <c r="A58" s="142" t="s">
        <v>79</v>
      </c>
      <c r="B58" s="142"/>
      <c r="C58" s="142"/>
      <c r="D58" s="142"/>
      <c r="E58" s="142"/>
      <c r="F58" s="142"/>
      <c r="G58" s="142"/>
      <c r="H58" s="142"/>
      <c r="I58" s="142"/>
      <c r="J58" s="142"/>
      <c r="K58" s="142"/>
    </row>
    <row r="59" ht="13.5" customHeight="1" spans="1:11">
      <c r="A59" s="142"/>
      <c r="B59" s="142"/>
      <c r="C59" s="142"/>
      <c r="D59" s="142"/>
      <c r="E59" s="142"/>
      <c r="F59" s="142"/>
      <c r="G59" s="142"/>
      <c r="H59" s="142"/>
      <c r="I59" s="142"/>
      <c r="J59" s="142"/>
      <c r="K59" s="142"/>
    </row>
    <row r="60" customHeight="1" spans="1:11">
      <c r="A60" s="142"/>
      <c r="B60" s="142"/>
      <c r="C60" s="142"/>
      <c r="D60" s="142"/>
      <c r="E60" s="142"/>
      <c r="F60" s="142"/>
      <c r="G60" s="142"/>
      <c r="H60" s="142"/>
      <c r="I60" s="142"/>
      <c r="J60" s="142"/>
      <c r="K60" s="142"/>
    </row>
    <row r="61" customHeight="1" spans="1:11">
      <c r="A61" s="142"/>
      <c r="B61" s="142"/>
      <c r="C61" s="142"/>
      <c r="D61" s="142"/>
      <c r="E61" s="142"/>
      <c r="F61" s="142"/>
      <c r="G61" s="142"/>
      <c r="H61" s="142"/>
      <c r="I61" s="142"/>
      <c r="J61" s="142"/>
      <c r="K61" s="142"/>
    </row>
    <row r="62" customHeight="1" spans="1:11">
      <c r="A62" s="142"/>
      <c r="B62" s="142"/>
      <c r="C62" s="142"/>
      <c r="D62" s="142"/>
      <c r="E62" s="142"/>
      <c r="F62" s="142"/>
      <c r="G62" s="142"/>
      <c r="H62" s="142"/>
      <c r="I62" s="142"/>
      <c r="J62" s="142"/>
      <c r="K62" s="142"/>
    </row>
    <row r="63" customHeight="1" spans="1:11">
      <c r="A63" s="142"/>
      <c r="B63" s="142"/>
      <c r="C63" s="142"/>
      <c r="D63" s="142"/>
      <c r="E63" s="142"/>
      <c r="F63" s="142"/>
      <c r="G63" s="142"/>
      <c r="H63" s="142"/>
      <c r="I63" s="142"/>
      <c r="J63" s="142"/>
      <c r="K63" s="142"/>
    </row>
    <row r="64" customHeight="1" spans="1:11">
      <c r="A64" s="142"/>
      <c r="B64" s="142"/>
      <c r="C64" s="142"/>
      <c r="D64" s="142"/>
      <c r="E64" s="142"/>
      <c r="F64" s="142"/>
      <c r="G64" s="142"/>
      <c r="H64" s="142"/>
      <c r="I64" s="142"/>
      <c r="J64" s="142"/>
      <c r="K64" s="142"/>
    </row>
    <row r="65" ht="11" customHeight="1" spans="1:11">
      <c r="A65" s="142"/>
      <c r="B65" s="142"/>
      <c r="C65" s="142"/>
      <c r="D65" s="142"/>
      <c r="E65" s="142"/>
      <c r="F65" s="142"/>
      <c r="G65" s="142"/>
      <c r="H65" s="142"/>
      <c r="I65" s="142"/>
      <c r="J65" s="142"/>
      <c r="K65" s="142"/>
    </row>
    <row r="66" spans="1:11">
      <c r="A66" s="145"/>
      <c r="B66" s="145"/>
      <c r="C66" s="145"/>
      <c r="D66" s="145"/>
      <c r="E66" s="145"/>
      <c r="F66" s="145"/>
      <c r="G66" s="145"/>
      <c r="H66" s="145"/>
      <c r="I66" s="145"/>
      <c r="J66" s="145"/>
      <c r="K66" s="145"/>
    </row>
    <row r="67" spans="1:11">
      <c r="A67" s="145" t="s">
        <v>64</v>
      </c>
      <c r="B67" s="145"/>
      <c r="C67" s="145"/>
      <c r="D67" s="145"/>
      <c r="E67" s="145"/>
      <c r="F67" s="145"/>
      <c r="G67" s="145"/>
      <c r="H67" s="145"/>
      <c r="I67" s="145"/>
      <c r="J67" s="145"/>
      <c r="K67" s="145"/>
    </row>
  </sheetData>
  <mergeCells count="17">
    <mergeCell ref="C5:E5"/>
    <mergeCell ref="F5:H5"/>
    <mergeCell ref="I5:K5"/>
    <mergeCell ref="A66:K66"/>
    <mergeCell ref="A67:K67"/>
    <mergeCell ref="C8:C10"/>
    <mergeCell ref="D8:D10"/>
    <mergeCell ref="E8:E10"/>
    <mergeCell ref="F8:F10"/>
    <mergeCell ref="G8:G10"/>
    <mergeCell ref="H8:H10"/>
    <mergeCell ref="I8:I10"/>
    <mergeCell ref="J8:J10"/>
    <mergeCell ref="K8:K10"/>
    <mergeCell ref="A58:K65"/>
    <mergeCell ref="A1:K2"/>
    <mergeCell ref="A3:K4"/>
  </mergeCells>
  <pageMargins left="0.708661417322835" right="0.708661417322835" top="0.748031496062992" bottom="0.748031496062992" header="0.31496062992126" footer="0.31496062992126"/>
  <pageSetup paperSize="9" scale="74" orientation="portrait"/>
  <headerFooter>
    <oddHeader>&amp;LOECD Family Database (http://www.oecd.org/els/family/database.htm)</oddHeader>
    <oddFooter>&amp;C
&amp;1#&amp;"Arial Narrow"&amp;10&amp;K0000FF Unclassified - Non classifié</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V63"/>
  <sheetViews>
    <sheetView showGridLines="0" zoomScale="75" zoomScaleNormal="75" workbookViewId="0">
      <selection activeCell="B1" sqref="B1:N2"/>
    </sheetView>
  </sheetViews>
  <sheetFormatPr defaultColWidth="8.8141592920354" defaultRowHeight="12.75"/>
  <cols>
    <col min="1" max="1" width="2.45132743362832" style="59" customWidth="1"/>
    <col min="2" max="2" width="2.8141592920354" style="59" customWidth="1"/>
    <col min="3" max="6" width="7.45132743362832" style="59" customWidth="1"/>
    <col min="7" max="7" width="7.45132743362832" style="60" customWidth="1"/>
    <col min="8" max="8" width="10.5398230088496" style="60" customWidth="1"/>
    <col min="9" max="9" width="7.45132743362832" style="60" customWidth="1"/>
    <col min="10" max="13" width="7.45132743362832" style="59" customWidth="1"/>
    <col min="14" max="14" width="5.53982300884956" style="59" customWidth="1"/>
    <col min="15" max="15" width="2.45132743362832" style="61" customWidth="1"/>
    <col min="16" max="17" width="8.8141592920354" style="62"/>
    <col min="18" max="18" width="14.2654867256637" style="63" customWidth="1"/>
    <col min="19" max="20" width="16.4513274336283" style="64" customWidth="1"/>
    <col min="21" max="21" width="8.8141592920354" style="62"/>
    <col min="22" max="16384" width="8.8141592920354" style="59"/>
  </cols>
  <sheetData>
    <row r="1" spans="1:21">
      <c r="A1" s="35"/>
      <c r="B1" s="66" t="s">
        <v>80</v>
      </c>
      <c r="C1" s="66"/>
      <c r="D1" s="66"/>
      <c r="E1" s="66"/>
      <c r="F1" s="66"/>
      <c r="G1" s="66"/>
      <c r="H1" s="66"/>
      <c r="I1" s="66"/>
      <c r="J1" s="66"/>
      <c r="K1" s="66"/>
      <c r="L1" s="66"/>
      <c r="M1" s="66"/>
      <c r="N1" s="66"/>
      <c r="O1" s="78"/>
      <c r="P1" s="78"/>
      <c r="Q1" s="78"/>
      <c r="R1" s="84"/>
      <c r="S1" s="84"/>
      <c r="T1" s="84"/>
      <c r="U1" s="85"/>
    </row>
    <row r="2" spans="1:21">
      <c r="A2" s="35"/>
      <c r="B2" s="66"/>
      <c r="C2" s="66"/>
      <c r="D2" s="66"/>
      <c r="E2" s="66"/>
      <c r="F2" s="66"/>
      <c r="G2" s="66"/>
      <c r="H2" s="66"/>
      <c r="I2" s="66"/>
      <c r="J2" s="66"/>
      <c r="K2" s="66"/>
      <c r="L2" s="66"/>
      <c r="M2" s="66"/>
      <c r="N2" s="66"/>
      <c r="O2" s="78"/>
      <c r="P2" s="78"/>
      <c r="Q2" s="78"/>
      <c r="R2" s="84"/>
      <c r="S2" s="84"/>
      <c r="T2" s="84"/>
      <c r="U2" s="85"/>
    </row>
    <row r="3" customHeight="1" spans="1:21">
      <c r="A3" s="35"/>
      <c r="B3" s="107" t="s">
        <v>81</v>
      </c>
      <c r="C3" s="107"/>
      <c r="D3" s="107"/>
      <c r="E3" s="107"/>
      <c r="F3" s="107"/>
      <c r="G3" s="107"/>
      <c r="H3" s="107"/>
      <c r="I3" s="107"/>
      <c r="J3" s="107"/>
      <c r="K3" s="107"/>
      <c r="L3" s="107"/>
      <c r="M3" s="107"/>
      <c r="N3" s="107"/>
      <c r="O3" s="107"/>
      <c r="P3" s="78"/>
      <c r="Q3" s="78"/>
      <c r="R3" s="86"/>
      <c r="S3" s="86"/>
      <c r="T3" s="86"/>
      <c r="U3" s="85"/>
    </row>
    <row r="4" spans="1:21">
      <c r="A4" s="35"/>
      <c r="B4" s="107"/>
      <c r="C4" s="107"/>
      <c r="D4" s="107"/>
      <c r="E4" s="107"/>
      <c r="F4" s="107"/>
      <c r="G4" s="107"/>
      <c r="H4" s="107"/>
      <c r="I4" s="107"/>
      <c r="J4" s="107"/>
      <c r="K4" s="107"/>
      <c r="L4" s="107"/>
      <c r="M4" s="107"/>
      <c r="N4" s="107"/>
      <c r="O4" s="107"/>
      <c r="P4" s="78"/>
      <c r="Q4" s="78"/>
      <c r="R4" s="86"/>
      <c r="S4" s="86"/>
      <c r="T4" s="86"/>
      <c r="U4" s="85"/>
    </row>
    <row r="5" spans="1:21">
      <c r="A5" s="35"/>
      <c r="B5" s="67"/>
      <c r="C5" s="67"/>
      <c r="D5" s="67"/>
      <c r="E5" s="67"/>
      <c r="F5" s="67"/>
      <c r="G5" s="67"/>
      <c r="H5" s="67"/>
      <c r="I5" s="67"/>
      <c r="J5" s="67"/>
      <c r="K5" s="67"/>
      <c r="L5" s="67"/>
      <c r="M5" s="67"/>
      <c r="N5" s="67"/>
      <c r="O5" s="78"/>
      <c r="P5" s="78"/>
      <c r="Q5" s="78"/>
      <c r="R5" s="86"/>
      <c r="S5" s="86"/>
      <c r="T5" s="86"/>
      <c r="U5" s="85"/>
    </row>
    <row r="6" ht="22" customHeight="1" spans="1:21">
      <c r="A6" s="35"/>
      <c r="C6" s="108" t="s">
        <v>82</v>
      </c>
      <c r="D6" s="108"/>
      <c r="E6" s="108"/>
      <c r="F6" s="108"/>
      <c r="G6" s="108"/>
      <c r="H6" s="69"/>
      <c r="I6" s="68" t="s">
        <v>83</v>
      </c>
      <c r="J6" s="68"/>
      <c r="K6" s="68"/>
      <c r="L6" s="68"/>
      <c r="M6" s="68"/>
      <c r="N6" s="76"/>
      <c r="O6" s="78"/>
      <c r="P6" s="78"/>
      <c r="Q6" s="78"/>
      <c r="R6" s="86"/>
      <c r="S6" s="86"/>
      <c r="T6" s="86"/>
      <c r="U6" s="85"/>
    </row>
    <row r="7" ht="13.5" customHeight="1" spans="1:21">
      <c r="A7" s="35"/>
      <c r="B7" s="70"/>
      <c r="C7" s="70"/>
      <c r="D7" s="70"/>
      <c r="E7" s="70"/>
      <c r="F7" s="70"/>
      <c r="G7" s="71"/>
      <c r="H7" s="71"/>
      <c r="I7" s="71"/>
      <c r="J7" s="76"/>
      <c r="K7" s="76"/>
      <c r="L7" s="76"/>
      <c r="M7" s="76"/>
      <c r="N7" s="76"/>
      <c r="O7" s="78"/>
      <c r="P7" s="78"/>
      <c r="Q7" s="78"/>
      <c r="R7" s="91"/>
      <c r="S7" s="91" t="s">
        <v>2</v>
      </c>
      <c r="T7" s="91"/>
      <c r="U7" s="85"/>
    </row>
    <row r="8" ht="13.5" customHeight="1" spans="1:21">
      <c r="A8" s="35"/>
      <c r="B8" s="35"/>
      <c r="C8" s="35"/>
      <c r="D8" s="35"/>
      <c r="E8" s="35"/>
      <c r="F8" s="35"/>
      <c r="G8" s="71"/>
      <c r="H8" s="71"/>
      <c r="I8" s="71"/>
      <c r="J8" s="35"/>
      <c r="K8" s="35"/>
      <c r="L8" s="35"/>
      <c r="M8" s="35"/>
      <c r="N8" s="35"/>
      <c r="O8" s="78"/>
      <c r="P8" s="78"/>
      <c r="Q8" s="78"/>
      <c r="R8" s="92"/>
      <c r="S8" s="109" t="s">
        <v>84</v>
      </c>
      <c r="T8" s="109" t="s">
        <v>85</v>
      </c>
      <c r="U8" s="85"/>
    </row>
    <row r="9" ht="9" customHeight="1" spans="1:22">
      <c r="A9" s="35"/>
      <c r="B9" s="69"/>
      <c r="C9" s="69"/>
      <c r="D9" s="69"/>
      <c r="E9" s="69"/>
      <c r="F9" s="69"/>
      <c r="G9" s="69"/>
      <c r="H9" s="72" t="str">
        <f>R9</f>
        <v>Bulgaria</v>
      </c>
      <c r="I9" s="69"/>
      <c r="J9" s="69"/>
      <c r="K9" s="69"/>
      <c r="L9" s="69"/>
      <c r="M9" s="35"/>
      <c r="N9" s="35"/>
      <c r="O9" s="78"/>
      <c r="P9" s="78"/>
      <c r="Q9" s="78"/>
      <c r="R9" s="96" t="s">
        <v>57</v>
      </c>
      <c r="S9" s="103">
        <v>58.5714285714286</v>
      </c>
      <c r="T9" s="103">
        <v>90</v>
      </c>
      <c r="U9" s="104"/>
      <c r="V9" s="105"/>
    </row>
    <row r="10" ht="9" customHeight="1" spans="1:22">
      <c r="A10" s="35"/>
      <c r="B10" s="69"/>
      <c r="C10" s="69"/>
      <c r="D10" s="69"/>
      <c r="E10" s="69"/>
      <c r="F10" s="69"/>
      <c r="G10" s="69"/>
      <c r="H10" s="72" t="str">
        <f t="shared" ref="H10:H53" si="0">R10</f>
        <v>Greece</v>
      </c>
      <c r="I10" s="69"/>
      <c r="J10" s="69"/>
      <c r="K10" s="69"/>
      <c r="L10" s="69"/>
      <c r="M10" s="35"/>
      <c r="N10" s="35"/>
      <c r="O10" s="78"/>
      <c r="P10" s="78"/>
      <c r="Q10" s="78"/>
      <c r="R10" s="96" t="s">
        <v>30</v>
      </c>
      <c r="S10" s="103">
        <v>56</v>
      </c>
      <c r="T10" s="103">
        <v>60.312433683317</v>
      </c>
      <c r="U10" s="104"/>
      <c r="V10" s="105"/>
    </row>
    <row r="11" ht="9" customHeight="1" spans="1:22">
      <c r="A11" s="35"/>
      <c r="B11" s="69"/>
      <c r="C11" s="69"/>
      <c r="D11" s="69"/>
      <c r="E11" s="69"/>
      <c r="F11" s="69"/>
      <c r="G11" s="69"/>
      <c r="H11" s="72" t="str">
        <f t="shared" si="0"/>
        <v>United Kingdom</v>
      </c>
      <c r="I11" s="69"/>
      <c r="J11" s="69"/>
      <c r="K11" s="69"/>
      <c r="L11" s="69"/>
      <c r="M11" s="35"/>
      <c r="N11" s="35"/>
      <c r="O11" s="78"/>
      <c r="P11" s="78"/>
      <c r="Q11" s="78"/>
      <c r="R11" s="96" t="s">
        <v>53</v>
      </c>
      <c r="S11" s="103">
        <v>39</v>
      </c>
      <c r="T11" s="103">
        <v>31.1333703722561</v>
      </c>
      <c r="U11" s="104"/>
      <c r="V11" s="105"/>
    </row>
    <row r="12" ht="9" customHeight="1" spans="1:22">
      <c r="A12" s="35"/>
      <c r="B12" s="69"/>
      <c r="C12" s="69"/>
      <c r="D12" s="69"/>
      <c r="E12" s="69"/>
      <c r="F12" s="69"/>
      <c r="G12" s="69"/>
      <c r="H12" s="72" t="str">
        <f t="shared" si="0"/>
        <v>Slovak Republic</v>
      </c>
      <c r="I12" s="69"/>
      <c r="J12" s="69"/>
      <c r="K12" s="69"/>
      <c r="L12" s="69"/>
      <c r="M12" s="35"/>
      <c r="N12" s="35"/>
      <c r="O12" s="78"/>
      <c r="P12" s="78"/>
      <c r="Q12" s="78"/>
      <c r="R12" s="96" t="s">
        <v>47</v>
      </c>
      <c r="S12" s="103">
        <v>34</v>
      </c>
      <c r="T12" s="103">
        <v>75</v>
      </c>
      <c r="U12" s="104"/>
      <c r="V12" s="105"/>
    </row>
    <row r="13" ht="9" customHeight="1" spans="1:22">
      <c r="A13" s="35"/>
      <c r="B13" s="69"/>
      <c r="C13" s="69"/>
      <c r="D13" s="69"/>
      <c r="E13" s="69"/>
      <c r="F13" s="69"/>
      <c r="G13" s="69"/>
      <c r="H13" s="72" t="str">
        <f t="shared" si="0"/>
        <v>Croatia</v>
      </c>
      <c r="I13" s="69"/>
      <c r="J13" s="69"/>
      <c r="K13" s="69"/>
      <c r="L13" s="69"/>
      <c r="M13" s="35"/>
      <c r="N13" s="35"/>
      <c r="O13" s="78"/>
      <c r="P13" s="78"/>
      <c r="Q13" s="78"/>
      <c r="R13" s="96" t="s">
        <v>58</v>
      </c>
      <c r="S13" s="103">
        <v>30</v>
      </c>
      <c r="T13" s="103">
        <v>100</v>
      </c>
      <c r="U13" s="104"/>
      <c r="V13" s="105"/>
    </row>
    <row r="14" ht="9" customHeight="1" spans="1:22">
      <c r="A14" s="35"/>
      <c r="B14" s="69"/>
      <c r="C14" s="69"/>
      <c r="D14" s="69"/>
      <c r="E14" s="69"/>
      <c r="F14" s="69"/>
      <c r="G14" s="69"/>
      <c r="H14" s="72" t="str">
        <f t="shared" si="0"/>
        <v>Czechia</v>
      </c>
      <c r="I14" s="69"/>
      <c r="J14" s="69"/>
      <c r="K14" s="69"/>
      <c r="L14" s="69"/>
      <c r="M14" s="35"/>
      <c r="N14" s="35"/>
      <c r="O14" s="78"/>
      <c r="P14" s="78"/>
      <c r="Q14" s="78"/>
      <c r="R14" s="96" t="s">
        <v>24</v>
      </c>
      <c r="S14" s="103">
        <v>28</v>
      </c>
      <c r="T14" s="103">
        <v>62.5459756704829</v>
      </c>
      <c r="U14" s="104"/>
      <c r="V14" s="105"/>
    </row>
    <row r="15" ht="9" customHeight="1" spans="1:22">
      <c r="A15" s="35"/>
      <c r="B15" s="69"/>
      <c r="C15" s="69"/>
      <c r="D15" s="69"/>
      <c r="E15" s="69"/>
      <c r="F15" s="69"/>
      <c r="G15" s="69"/>
      <c r="H15" s="72" t="str">
        <f t="shared" si="0"/>
        <v>Iceland</v>
      </c>
      <c r="I15" s="69"/>
      <c r="J15" s="69"/>
      <c r="K15" s="69"/>
      <c r="L15" s="69"/>
      <c r="M15" s="35"/>
      <c r="N15" s="35"/>
      <c r="O15" s="78"/>
      <c r="P15" s="78"/>
      <c r="Q15" s="78"/>
      <c r="R15" s="96" t="s">
        <v>32</v>
      </c>
      <c r="S15" s="103">
        <v>26</v>
      </c>
      <c r="T15" s="103">
        <v>65.0612090432912</v>
      </c>
      <c r="U15" s="104"/>
      <c r="V15" s="105"/>
    </row>
    <row r="16" ht="9" customHeight="1" spans="1:22">
      <c r="A16" s="35"/>
      <c r="B16" s="69"/>
      <c r="C16" s="69"/>
      <c r="D16" s="69"/>
      <c r="E16" s="69"/>
      <c r="F16" s="69"/>
      <c r="G16" s="69"/>
      <c r="H16" s="72" t="str">
        <f t="shared" si="0"/>
        <v>New Zealand</v>
      </c>
      <c r="I16" s="69"/>
      <c r="J16" s="69"/>
      <c r="K16" s="69"/>
      <c r="L16" s="69"/>
      <c r="M16" s="35"/>
      <c r="N16" s="35"/>
      <c r="O16" s="78"/>
      <c r="P16" s="78"/>
      <c r="Q16" s="78"/>
      <c r="R16" s="96" t="s">
        <v>43</v>
      </c>
      <c r="S16" s="103">
        <v>26</v>
      </c>
      <c r="T16" s="103">
        <v>48.7264050894067</v>
      </c>
      <c r="U16" s="104"/>
      <c r="V16" s="105"/>
    </row>
    <row r="17" ht="9" customHeight="1" spans="1:22">
      <c r="A17" s="35"/>
      <c r="B17" s="69"/>
      <c r="C17" s="69"/>
      <c r="D17" s="69"/>
      <c r="E17" s="69"/>
      <c r="F17" s="69"/>
      <c r="G17" s="69"/>
      <c r="H17" s="72" t="str">
        <f t="shared" si="0"/>
        <v>Ireland</v>
      </c>
      <c r="I17" s="69"/>
      <c r="J17" s="69"/>
      <c r="K17" s="69"/>
      <c r="L17" s="69"/>
      <c r="M17" s="35"/>
      <c r="N17" s="35"/>
      <c r="O17" s="78"/>
      <c r="P17" s="78"/>
      <c r="Q17" s="78"/>
      <c r="R17" s="96" t="s">
        <v>33</v>
      </c>
      <c r="S17" s="103">
        <v>26</v>
      </c>
      <c r="T17" s="103">
        <v>23.5892982835077</v>
      </c>
      <c r="U17" s="104"/>
      <c r="V17" s="105"/>
    </row>
    <row r="18" ht="9" customHeight="1" spans="1:22">
      <c r="A18" s="35"/>
      <c r="B18" s="69"/>
      <c r="C18" s="69"/>
      <c r="D18" s="69"/>
      <c r="E18" s="69"/>
      <c r="F18" s="69"/>
      <c r="G18" s="69"/>
      <c r="H18" s="72" t="str">
        <f t="shared" si="0"/>
        <v>Hungary</v>
      </c>
      <c r="I18" s="69"/>
      <c r="J18" s="69"/>
      <c r="K18" s="69"/>
      <c r="L18" s="69"/>
      <c r="M18" s="35"/>
      <c r="N18" s="35"/>
      <c r="O18" s="78"/>
      <c r="P18" s="78"/>
      <c r="Q18" s="78"/>
      <c r="R18" s="96" t="s">
        <v>31</v>
      </c>
      <c r="S18" s="103">
        <v>24</v>
      </c>
      <c r="T18" s="103">
        <v>100</v>
      </c>
      <c r="U18" s="104"/>
      <c r="V18" s="105"/>
    </row>
    <row r="19" ht="9" customHeight="1" spans="1:22">
      <c r="A19" s="35"/>
      <c r="B19" s="69"/>
      <c r="C19" s="69"/>
      <c r="D19" s="69"/>
      <c r="E19" s="69"/>
      <c r="F19" s="69"/>
      <c r="G19" s="69"/>
      <c r="H19" s="72" t="str">
        <f t="shared" si="0"/>
        <v>Denmark</v>
      </c>
      <c r="I19" s="69"/>
      <c r="J19" s="69"/>
      <c r="K19" s="69"/>
      <c r="L19" s="69"/>
      <c r="M19" s="35"/>
      <c r="N19" s="35"/>
      <c r="O19" s="78"/>
      <c r="P19" s="78"/>
      <c r="Q19" s="78"/>
      <c r="R19" s="96" t="s">
        <v>25</v>
      </c>
      <c r="S19" s="103">
        <v>22</v>
      </c>
      <c r="T19" s="103">
        <v>49.6970221170345</v>
      </c>
      <c r="U19" s="104"/>
      <c r="V19" s="105"/>
    </row>
    <row r="20" ht="9" customHeight="1" spans="1:22">
      <c r="A20" s="35"/>
      <c r="B20" s="69"/>
      <c r="C20" s="69"/>
      <c r="D20" s="69"/>
      <c r="E20" s="69"/>
      <c r="F20" s="69"/>
      <c r="G20" s="69"/>
      <c r="H20" s="72" t="str">
        <f t="shared" si="0"/>
        <v>Cyprus</v>
      </c>
      <c r="I20" s="69"/>
      <c r="J20" s="69"/>
      <c r="K20" s="69"/>
      <c r="L20" s="69"/>
      <c r="M20" s="35"/>
      <c r="N20" s="35"/>
      <c r="O20" s="78"/>
      <c r="P20" s="78"/>
      <c r="Q20" s="78"/>
      <c r="R20" s="96" t="s">
        <v>59</v>
      </c>
      <c r="S20" s="103">
        <v>22</v>
      </c>
      <c r="T20" s="103">
        <v>72</v>
      </c>
      <c r="U20" s="104"/>
      <c r="V20" s="105"/>
    </row>
    <row r="21" ht="9" customHeight="1" spans="1:22">
      <c r="A21" s="35"/>
      <c r="B21" s="69"/>
      <c r="C21" s="69"/>
      <c r="D21" s="69"/>
      <c r="E21" s="69"/>
      <c r="F21" s="69"/>
      <c r="G21" s="69"/>
      <c r="H21" s="72" t="str">
        <f t="shared" si="0"/>
        <v>Italy</v>
      </c>
      <c r="I21" s="69"/>
      <c r="J21" s="69"/>
      <c r="K21" s="69"/>
      <c r="L21" s="69"/>
      <c r="M21" s="35"/>
      <c r="N21" s="35"/>
      <c r="O21" s="78"/>
      <c r="P21" s="78"/>
      <c r="Q21" s="78"/>
      <c r="R21" s="96" t="s">
        <v>35</v>
      </c>
      <c r="S21" s="103">
        <v>21.7</v>
      </c>
      <c r="T21" s="103">
        <v>80</v>
      </c>
      <c r="U21" s="104"/>
      <c r="V21" s="105"/>
    </row>
    <row r="22" ht="9" customHeight="1" spans="1:22">
      <c r="A22" s="35"/>
      <c r="B22" s="69"/>
      <c r="C22" s="69"/>
      <c r="D22" s="69"/>
      <c r="E22" s="69"/>
      <c r="F22" s="69"/>
      <c r="G22" s="69"/>
      <c r="H22" s="72" t="str">
        <f t="shared" si="0"/>
        <v>EU average</v>
      </c>
      <c r="I22" s="69"/>
      <c r="J22" s="69"/>
      <c r="K22" s="69"/>
      <c r="L22" s="69"/>
      <c r="M22" s="35"/>
      <c r="N22" s="35"/>
      <c r="O22" s="78"/>
      <c r="P22" s="78"/>
      <c r="Q22" s="78"/>
      <c r="R22" s="96" t="s">
        <v>62</v>
      </c>
      <c r="S22" s="103">
        <v>21.4846031746032</v>
      </c>
      <c r="T22" s="103" t="s">
        <v>56</v>
      </c>
      <c r="U22" s="104"/>
      <c r="V22" s="105"/>
    </row>
    <row r="23" ht="9" customHeight="1" spans="1:22">
      <c r="A23" s="35"/>
      <c r="B23" s="69"/>
      <c r="C23" s="69"/>
      <c r="D23" s="69"/>
      <c r="E23" s="69"/>
      <c r="F23" s="69"/>
      <c r="G23" s="69"/>
      <c r="H23" s="72" t="str">
        <f t="shared" si="0"/>
        <v>Luxembourg</v>
      </c>
      <c r="I23" s="69"/>
      <c r="J23" s="69"/>
      <c r="K23" s="69"/>
      <c r="L23" s="69"/>
      <c r="M23" s="35"/>
      <c r="N23" s="35"/>
      <c r="O23" s="78"/>
      <c r="P23" s="78"/>
      <c r="Q23" s="78"/>
      <c r="R23" s="96" t="s">
        <v>40</v>
      </c>
      <c r="S23" s="103">
        <v>20</v>
      </c>
      <c r="T23" s="103">
        <v>100</v>
      </c>
      <c r="U23" s="104"/>
      <c r="V23" s="105"/>
    </row>
    <row r="24" ht="9" customHeight="1" spans="1:22">
      <c r="A24" s="35"/>
      <c r="B24" s="69"/>
      <c r="C24" s="69"/>
      <c r="D24" s="69"/>
      <c r="E24" s="69"/>
      <c r="F24" s="69"/>
      <c r="G24" s="69"/>
      <c r="H24" s="72" t="str">
        <f t="shared" si="0"/>
        <v>Poland</v>
      </c>
      <c r="I24" s="69"/>
      <c r="J24" s="69"/>
      <c r="K24" s="69"/>
      <c r="L24" s="69"/>
      <c r="M24" s="35"/>
      <c r="N24" s="35"/>
      <c r="O24" s="78"/>
      <c r="P24" s="78"/>
      <c r="Q24" s="78"/>
      <c r="R24" s="96" t="s">
        <v>45</v>
      </c>
      <c r="S24" s="103">
        <v>20</v>
      </c>
      <c r="T24" s="103">
        <v>100</v>
      </c>
      <c r="U24" s="104"/>
      <c r="V24" s="105"/>
    </row>
    <row r="25" ht="9" customHeight="1" spans="1:22">
      <c r="A25" s="35"/>
      <c r="B25" s="69"/>
      <c r="C25" s="69"/>
      <c r="D25" s="69"/>
      <c r="E25" s="69"/>
      <c r="F25" s="69"/>
      <c r="G25" s="69"/>
      <c r="H25" s="72" t="str">
        <f t="shared" si="0"/>
        <v>OECD average</v>
      </c>
      <c r="I25" s="69"/>
      <c r="J25" s="69"/>
      <c r="K25" s="69"/>
      <c r="L25" s="69"/>
      <c r="M25" s="35"/>
      <c r="N25" s="35"/>
      <c r="O25" s="78"/>
      <c r="P25" s="78"/>
      <c r="Q25" s="78"/>
      <c r="R25" s="96" t="s">
        <v>55</v>
      </c>
      <c r="S25" s="103">
        <v>18.3606131578947</v>
      </c>
      <c r="T25" s="103" t="s">
        <v>56</v>
      </c>
      <c r="U25" s="106"/>
      <c r="V25" s="105"/>
    </row>
    <row r="26" ht="9" customHeight="1" spans="1:22">
      <c r="A26" s="35"/>
      <c r="B26" s="69"/>
      <c r="C26" s="69"/>
      <c r="D26" s="69"/>
      <c r="E26" s="69"/>
      <c r="F26" s="69"/>
      <c r="G26" s="69"/>
      <c r="H26" s="72" t="str">
        <f t="shared" si="0"/>
        <v>Chile</v>
      </c>
      <c r="I26" s="69"/>
      <c r="J26" s="69"/>
      <c r="K26" s="69"/>
      <c r="L26" s="69"/>
      <c r="M26" s="35"/>
      <c r="N26" s="35"/>
      <c r="O26" s="78"/>
      <c r="P26" s="78"/>
      <c r="Q26" s="78"/>
      <c r="R26" s="96" t="s">
        <v>21</v>
      </c>
      <c r="S26" s="103">
        <v>18</v>
      </c>
      <c r="T26" s="103">
        <v>100</v>
      </c>
      <c r="U26" s="104"/>
      <c r="V26" s="105"/>
    </row>
    <row r="27" ht="9" customHeight="1" spans="1:22">
      <c r="A27" s="35"/>
      <c r="B27" s="69"/>
      <c r="C27" s="69"/>
      <c r="D27" s="69"/>
      <c r="E27" s="69"/>
      <c r="F27" s="69"/>
      <c r="G27" s="69"/>
      <c r="H27" s="72" t="str">
        <f t="shared" si="0"/>
        <v>Colombia</v>
      </c>
      <c r="I27" s="69"/>
      <c r="J27" s="69"/>
      <c r="K27" s="69"/>
      <c r="L27" s="69"/>
      <c r="M27" s="35"/>
      <c r="N27" s="35"/>
      <c r="O27" s="78"/>
      <c r="P27" s="78"/>
      <c r="Q27" s="78"/>
      <c r="R27" s="96" t="s">
        <v>22</v>
      </c>
      <c r="S27" s="103">
        <v>18</v>
      </c>
      <c r="T27" s="103">
        <v>100</v>
      </c>
      <c r="U27" s="104"/>
      <c r="V27" s="105"/>
    </row>
    <row r="28" ht="9" customHeight="1" spans="1:22">
      <c r="A28" s="35"/>
      <c r="B28" s="69"/>
      <c r="C28" s="69"/>
      <c r="D28" s="69"/>
      <c r="E28" s="69"/>
      <c r="F28" s="69"/>
      <c r="G28" s="69"/>
      <c r="H28" s="72" t="str">
        <f t="shared" si="0"/>
        <v>Norway</v>
      </c>
      <c r="I28" s="69"/>
      <c r="J28" s="69"/>
      <c r="K28" s="69"/>
      <c r="L28" s="69"/>
      <c r="M28" s="35"/>
      <c r="N28" s="35"/>
      <c r="O28" s="78"/>
      <c r="P28" s="78"/>
      <c r="Q28" s="78"/>
      <c r="R28" s="96" t="s">
        <v>44</v>
      </c>
      <c r="S28" s="103">
        <v>18</v>
      </c>
      <c r="T28" s="103">
        <v>98.1630305713044</v>
      </c>
      <c r="U28" s="104"/>
      <c r="V28" s="105"/>
    </row>
    <row r="29" ht="9" customHeight="1" spans="1:22">
      <c r="A29" s="35"/>
      <c r="B29" s="69"/>
      <c r="C29" s="69"/>
      <c r="D29" s="69"/>
      <c r="E29" s="69"/>
      <c r="F29" s="69"/>
      <c r="G29" s="69"/>
      <c r="H29" s="72" t="str">
        <f t="shared" si="0"/>
        <v>Malta</v>
      </c>
      <c r="I29" s="69"/>
      <c r="J29" s="69"/>
      <c r="K29" s="69"/>
      <c r="L29" s="69"/>
      <c r="M29" s="35"/>
      <c r="N29" s="35"/>
      <c r="O29" s="78"/>
      <c r="P29" s="78"/>
      <c r="Q29" s="78"/>
      <c r="R29" s="96" t="s">
        <v>60</v>
      </c>
      <c r="S29" s="103">
        <v>18</v>
      </c>
      <c r="T29" s="103">
        <v>86.9565254870434</v>
      </c>
      <c r="U29" s="104"/>
      <c r="V29" s="105"/>
    </row>
    <row r="30" ht="9" customHeight="1" spans="1:22">
      <c r="A30" s="35"/>
      <c r="B30" s="69"/>
      <c r="C30" s="69"/>
      <c r="D30" s="69"/>
      <c r="E30" s="69"/>
      <c r="F30" s="69"/>
      <c r="G30" s="69"/>
      <c r="H30" s="72" t="str">
        <f t="shared" si="0"/>
        <v>Romania</v>
      </c>
      <c r="I30" s="69"/>
      <c r="J30" s="69"/>
      <c r="K30" s="69"/>
      <c r="L30" s="69"/>
      <c r="M30" s="35"/>
      <c r="N30" s="35"/>
      <c r="O30" s="78"/>
      <c r="P30" s="78"/>
      <c r="Q30" s="78"/>
      <c r="R30" s="96" t="s">
        <v>61</v>
      </c>
      <c r="S30" s="103">
        <v>18</v>
      </c>
      <c r="T30" s="103">
        <v>85</v>
      </c>
      <c r="U30" s="104"/>
      <c r="V30" s="105"/>
    </row>
    <row r="31" ht="9" customHeight="1" spans="1:22">
      <c r="A31" s="35"/>
      <c r="B31" s="69"/>
      <c r="C31" s="69"/>
      <c r="D31" s="69"/>
      <c r="E31" s="69"/>
      <c r="F31" s="69"/>
      <c r="G31" s="69"/>
      <c r="H31" s="72" t="str">
        <f t="shared" si="0"/>
        <v>Lithuania</v>
      </c>
      <c r="I31" s="69"/>
      <c r="J31" s="69"/>
      <c r="K31" s="69"/>
      <c r="L31" s="69"/>
      <c r="M31" s="35"/>
      <c r="N31" s="35"/>
      <c r="O31" s="78"/>
      <c r="P31" s="78"/>
      <c r="Q31" s="96"/>
      <c r="R31" s="96" t="s">
        <v>39</v>
      </c>
      <c r="S31" s="103">
        <v>18</v>
      </c>
      <c r="T31" s="103">
        <v>77.58</v>
      </c>
      <c r="U31" s="104"/>
      <c r="V31" s="105"/>
    </row>
    <row r="32" ht="9" customHeight="1" spans="1:22">
      <c r="A32" s="35"/>
      <c r="B32" s="69"/>
      <c r="C32" s="69"/>
      <c r="D32" s="69"/>
      <c r="E32" s="69"/>
      <c r="F32" s="69"/>
      <c r="G32" s="69"/>
      <c r="H32" s="72" t="str">
        <f t="shared" si="0"/>
        <v>Costa Rica</v>
      </c>
      <c r="I32" s="69"/>
      <c r="J32" s="69"/>
      <c r="K32" s="69"/>
      <c r="L32" s="69"/>
      <c r="M32" s="35"/>
      <c r="N32" s="35"/>
      <c r="O32" s="78"/>
      <c r="P32" s="78"/>
      <c r="Q32" s="78"/>
      <c r="R32" s="96" t="s">
        <v>23</v>
      </c>
      <c r="S32" s="103">
        <v>17.3333</v>
      </c>
      <c r="T32" s="103">
        <v>100</v>
      </c>
      <c r="U32" s="104"/>
      <c r="V32" s="105"/>
    </row>
    <row r="33" ht="9" customHeight="1" spans="1:22">
      <c r="A33" s="35"/>
      <c r="B33" s="69"/>
      <c r="C33" s="69"/>
      <c r="D33" s="69"/>
      <c r="E33" s="69"/>
      <c r="F33" s="69"/>
      <c r="G33" s="69"/>
      <c r="H33" s="72" t="str">
        <f t="shared" si="0"/>
        <v>Austria</v>
      </c>
      <c r="I33" s="69"/>
      <c r="J33" s="69"/>
      <c r="K33" s="69"/>
      <c r="L33" s="69"/>
      <c r="M33" s="35"/>
      <c r="N33" s="35"/>
      <c r="O33" s="78"/>
      <c r="P33" s="78"/>
      <c r="Q33" s="78"/>
      <c r="R33" s="96" t="s">
        <v>18</v>
      </c>
      <c r="S33" s="103">
        <v>16</v>
      </c>
      <c r="T33" s="103">
        <v>100</v>
      </c>
      <c r="U33" s="104"/>
      <c r="V33" s="105"/>
    </row>
    <row r="34" ht="9" customHeight="1" spans="1:22">
      <c r="A34" s="35"/>
      <c r="B34" s="69"/>
      <c r="C34" s="69"/>
      <c r="D34" s="69"/>
      <c r="E34" s="69"/>
      <c r="F34" s="69"/>
      <c r="G34" s="69"/>
      <c r="H34" s="72" t="str">
        <f t="shared" si="0"/>
        <v>Netherlands</v>
      </c>
      <c r="I34" s="69"/>
      <c r="J34" s="69"/>
      <c r="K34" s="69"/>
      <c r="L34" s="69"/>
      <c r="M34" s="35"/>
      <c r="N34" s="35"/>
      <c r="O34" s="78"/>
      <c r="P34" s="78"/>
      <c r="Q34" s="78"/>
      <c r="R34" s="96" t="s">
        <v>42</v>
      </c>
      <c r="S34" s="103">
        <v>16</v>
      </c>
      <c r="T34" s="103">
        <v>100</v>
      </c>
      <c r="U34" s="104"/>
      <c r="V34" s="105"/>
    </row>
    <row r="35" ht="9" customHeight="1" spans="1:22">
      <c r="A35" s="35"/>
      <c r="B35" s="69"/>
      <c r="C35" s="69"/>
      <c r="D35" s="69"/>
      <c r="E35" s="69"/>
      <c r="F35" s="69"/>
      <c r="G35" s="69"/>
      <c r="H35" s="72" t="str">
        <f t="shared" si="0"/>
        <v>France</v>
      </c>
      <c r="I35" s="69"/>
      <c r="J35" s="69"/>
      <c r="K35" s="69"/>
      <c r="L35" s="69"/>
      <c r="M35" s="35"/>
      <c r="N35" s="35"/>
      <c r="O35" s="78"/>
      <c r="P35" s="78"/>
      <c r="Q35" s="78"/>
      <c r="R35" s="96" t="s">
        <v>28</v>
      </c>
      <c r="S35" s="103">
        <v>16</v>
      </c>
      <c r="T35" s="103">
        <v>100</v>
      </c>
      <c r="U35" s="104"/>
      <c r="V35" s="105"/>
    </row>
    <row r="36" ht="9" customHeight="1" spans="1:22">
      <c r="A36" s="35"/>
      <c r="B36" s="69"/>
      <c r="C36" s="69"/>
      <c r="D36" s="69"/>
      <c r="E36" s="69"/>
      <c r="F36" s="69"/>
      <c r="G36" s="69"/>
      <c r="H36" s="72" t="str">
        <f t="shared" si="0"/>
        <v>Türkiye</v>
      </c>
      <c r="I36" s="69"/>
      <c r="J36" s="69"/>
      <c r="K36" s="69"/>
      <c r="L36" s="69"/>
      <c r="M36" s="35"/>
      <c r="N36" s="35"/>
      <c r="O36" s="78"/>
      <c r="P36" s="78"/>
      <c r="Q36" s="78"/>
      <c r="R36" s="96" t="s">
        <v>52</v>
      </c>
      <c r="S36" s="103">
        <v>16</v>
      </c>
      <c r="T36" s="103">
        <v>100</v>
      </c>
      <c r="U36" s="104"/>
      <c r="V36" s="105"/>
    </row>
    <row r="37" ht="9" customHeight="1" spans="1:22">
      <c r="A37" s="35"/>
      <c r="B37" s="69"/>
      <c r="C37" s="69"/>
      <c r="D37" s="69"/>
      <c r="E37" s="69"/>
      <c r="F37" s="69"/>
      <c r="G37" s="69"/>
      <c r="H37" s="72" t="str">
        <f t="shared" si="0"/>
        <v>Spain</v>
      </c>
      <c r="I37" s="69"/>
      <c r="J37" s="69"/>
      <c r="K37" s="69"/>
      <c r="L37" s="69"/>
      <c r="M37" s="35"/>
      <c r="N37" s="35"/>
      <c r="O37" s="78"/>
      <c r="P37" s="78"/>
      <c r="Q37" s="78"/>
      <c r="R37" s="96" t="s">
        <v>49</v>
      </c>
      <c r="S37" s="103">
        <v>16</v>
      </c>
      <c r="T37" s="103">
        <v>100</v>
      </c>
      <c r="U37" s="104"/>
      <c r="V37" s="105"/>
    </row>
    <row r="38" ht="9" customHeight="1" spans="1:22">
      <c r="A38" s="35"/>
      <c r="B38" s="69"/>
      <c r="C38" s="69"/>
      <c r="D38" s="69"/>
      <c r="E38" s="69"/>
      <c r="F38" s="69"/>
      <c r="G38" s="69"/>
      <c r="H38" s="72" t="str">
        <f t="shared" si="0"/>
        <v>Latvia</v>
      </c>
      <c r="I38" s="69"/>
      <c r="J38" s="69"/>
      <c r="K38" s="69"/>
      <c r="L38" s="69"/>
      <c r="M38" s="35"/>
      <c r="N38" s="35"/>
      <c r="O38" s="78"/>
      <c r="P38" s="78"/>
      <c r="Q38" s="78"/>
      <c r="R38" s="96" t="s">
        <v>38</v>
      </c>
      <c r="S38" s="103">
        <v>16</v>
      </c>
      <c r="T38" s="103">
        <v>80</v>
      </c>
      <c r="U38" s="104"/>
      <c r="V38" s="105"/>
    </row>
    <row r="39" ht="9" customHeight="1" spans="1:22">
      <c r="A39" s="35"/>
      <c r="B39" s="69"/>
      <c r="C39" s="69"/>
      <c r="D39" s="69"/>
      <c r="E39" s="69"/>
      <c r="F39" s="69"/>
      <c r="G39" s="69"/>
      <c r="H39" s="72" t="str">
        <f t="shared" si="0"/>
        <v>Canada</v>
      </c>
      <c r="I39" s="69"/>
      <c r="J39" s="69"/>
      <c r="K39" s="69"/>
      <c r="L39" s="69"/>
      <c r="M39" s="35"/>
      <c r="N39" s="35"/>
      <c r="O39" s="78"/>
      <c r="P39" s="78"/>
      <c r="Q39" s="78"/>
      <c r="R39" s="96" t="s">
        <v>20</v>
      </c>
      <c r="S39" s="103">
        <v>16</v>
      </c>
      <c r="T39" s="103">
        <v>35.7346718474978</v>
      </c>
      <c r="U39" s="104"/>
      <c r="V39" s="105"/>
    </row>
    <row r="40" ht="9" customHeight="1" spans="1:22">
      <c r="A40" s="35"/>
      <c r="B40" s="69"/>
      <c r="C40" s="69"/>
      <c r="D40" s="69"/>
      <c r="E40" s="69"/>
      <c r="F40" s="69"/>
      <c r="G40" s="69"/>
      <c r="H40" s="72" t="str">
        <f t="shared" si="0"/>
        <v>Israel</v>
      </c>
      <c r="I40" s="69"/>
      <c r="J40" s="69"/>
      <c r="K40" s="69"/>
      <c r="L40" s="69"/>
      <c r="M40" s="35"/>
      <c r="N40" s="35"/>
      <c r="O40" s="78"/>
      <c r="P40" s="78"/>
      <c r="Q40" s="78"/>
      <c r="R40" s="96" t="s">
        <v>34</v>
      </c>
      <c r="S40" s="103">
        <v>15</v>
      </c>
      <c r="T40" s="103">
        <v>100</v>
      </c>
      <c r="U40" s="104"/>
      <c r="V40" s="105"/>
    </row>
    <row r="41" ht="9" customHeight="1" spans="1:22">
      <c r="A41" s="35"/>
      <c r="B41" s="69"/>
      <c r="C41" s="69"/>
      <c r="D41" s="69"/>
      <c r="E41" s="69"/>
      <c r="F41" s="69"/>
      <c r="G41" s="69"/>
      <c r="H41" s="72" t="str">
        <f t="shared" si="0"/>
        <v>Slovenia</v>
      </c>
      <c r="I41" s="69"/>
      <c r="J41" s="69"/>
      <c r="K41" s="69"/>
      <c r="L41" s="69"/>
      <c r="M41" s="35"/>
      <c r="N41" s="35"/>
      <c r="O41" s="78"/>
      <c r="P41" s="78"/>
      <c r="Q41" s="78"/>
      <c r="R41" s="96" t="s">
        <v>48</v>
      </c>
      <c r="S41" s="103">
        <v>15</v>
      </c>
      <c r="T41" s="103">
        <v>100</v>
      </c>
      <c r="U41" s="104"/>
      <c r="V41" s="105"/>
    </row>
    <row r="42" ht="9" customHeight="1" spans="1:22">
      <c r="A42" s="35"/>
      <c r="B42" s="69"/>
      <c r="C42" s="69"/>
      <c r="D42" s="69"/>
      <c r="E42" s="69"/>
      <c r="F42" s="69"/>
      <c r="G42" s="69"/>
      <c r="H42" s="72" t="str">
        <f t="shared" si="0"/>
        <v>Belgium</v>
      </c>
      <c r="I42" s="69"/>
      <c r="J42" s="69"/>
      <c r="K42" s="69"/>
      <c r="L42" s="69"/>
      <c r="M42" s="35"/>
      <c r="N42" s="35"/>
      <c r="O42" s="78"/>
      <c r="P42" s="78"/>
      <c r="Q42" s="96"/>
      <c r="R42" s="96" t="s">
        <v>19</v>
      </c>
      <c r="S42" s="103">
        <v>15</v>
      </c>
      <c r="T42" s="103">
        <v>77.0220400000002</v>
      </c>
      <c r="U42" s="85"/>
      <c r="V42" s="105"/>
    </row>
    <row r="43" ht="9" customHeight="1" spans="1:22">
      <c r="A43" s="35"/>
      <c r="B43" s="69"/>
      <c r="C43" s="69"/>
      <c r="D43" s="69"/>
      <c r="E43" s="69"/>
      <c r="F43" s="69"/>
      <c r="G43" s="69"/>
      <c r="H43" s="72" t="str">
        <f t="shared" si="0"/>
        <v>Estonia</v>
      </c>
      <c r="I43" s="69"/>
      <c r="J43" s="69"/>
      <c r="K43" s="69"/>
      <c r="L43" s="69"/>
      <c r="M43" s="35"/>
      <c r="N43" s="35"/>
      <c r="O43" s="78"/>
      <c r="P43" s="78"/>
      <c r="Q43" s="78"/>
      <c r="R43" s="96" t="s">
        <v>26</v>
      </c>
      <c r="S43" s="103">
        <v>14.2857142857143</v>
      </c>
      <c r="T43" s="103">
        <v>100</v>
      </c>
      <c r="U43" s="85"/>
      <c r="V43" s="105"/>
    </row>
    <row r="44" ht="9" customHeight="1" spans="1:22">
      <c r="A44" s="35"/>
      <c r="B44" s="69"/>
      <c r="C44" s="69"/>
      <c r="D44" s="69"/>
      <c r="E44" s="69"/>
      <c r="F44" s="69"/>
      <c r="G44" s="69"/>
      <c r="H44" s="72" t="str">
        <f t="shared" si="0"/>
        <v>Germany</v>
      </c>
      <c r="I44" s="69"/>
      <c r="J44" s="69"/>
      <c r="K44" s="69"/>
      <c r="L44" s="69"/>
      <c r="M44" s="35"/>
      <c r="N44" s="35"/>
      <c r="O44" s="78"/>
      <c r="P44" s="78"/>
      <c r="Q44" s="78"/>
      <c r="R44" s="96" t="s">
        <v>29</v>
      </c>
      <c r="S44" s="103">
        <v>14</v>
      </c>
      <c r="T44" s="103">
        <v>100</v>
      </c>
      <c r="U44" s="85"/>
      <c r="V44" s="105"/>
    </row>
    <row r="45" ht="9" customHeight="1" spans="1:22">
      <c r="A45" s="35"/>
      <c r="B45" s="69"/>
      <c r="C45" s="69"/>
      <c r="D45" s="69"/>
      <c r="E45" s="69"/>
      <c r="F45" s="69"/>
      <c r="G45" s="69"/>
      <c r="H45" s="72" t="str">
        <f t="shared" si="0"/>
        <v>Japan</v>
      </c>
      <c r="I45" s="69"/>
      <c r="J45" s="69"/>
      <c r="K45" s="69"/>
      <c r="L45" s="69"/>
      <c r="M45" s="35"/>
      <c r="N45" s="35"/>
      <c r="O45" s="78"/>
      <c r="P45" s="78"/>
      <c r="Q45" s="78"/>
      <c r="R45" s="96" t="s">
        <v>36</v>
      </c>
      <c r="S45" s="103">
        <v>14</v>
      </c>
      <c r="T45" s="103">
        <v>67</v>
      </c>
      <c r="U45" s="85"/>
      <c r="V45" s="105"/>
    </row>
    <row r="46" ht="9" customHeight="1" spans="1:22">
      <c r="A46" s="35"/>
      <c r="B46" s="69"/>
      <c r="C46" s="69"/>
      <c r="D46" s="69"/>
      <c r="E46" s="69"/>
      <c r="F46" s="69"/>
      <c r="G46" s="69"/>
      <c r="H46" s="72" t="str">
        <f t="shared" si="0"/>
        <v>Switzerland</v>
      </c>
      <c r="I46" s="69"/>
      <c r="J46" s="69"/>
      <c r="K46" s="69"/>
      <c r="L46" s="69"/>
      <c r="M46" s="35"/>
      <c r="N46" s="35"/>
      <c r="O46" s="78"/>
      <c r="P46" s="78"/>
      <c r="Q46" s="78"/>
      <c r="R46" s="96" t="s">
        <v>51</v>
      </c>
      <c r="S46" s="103">
        <v>14</v>
      </c>
      <c r="T46" s="103">
        <v>55.8866758007562</v>
      </c>
      <c r="V46" s="105"/>
    </row>
    <row r="47" ht="9" customHeight="1" spans="1:22">
      <c r="A47" s="35"/>
      <c r="B47" s="69"/>
      <c r="C47" s="69"/>
      <c r="D47" s="69"/>
      <c r="E47" s="69"/>
      <c r="F47" s="69"/>
      <c r="G47" s="69"/>
      <c r="H47" s="72" t="str">
        <f t="shared" si="0"/>
        <v>Korea</v>
      </c>
      <c r="I47" s="69"/>
      <c r="J47" s="69"/>
      <c r="K47" s="69"/>
      <c r="L47" s="69"/>
      <c r="M47" s="79"/>
      <c r="N47" s="35"/>
      <c r="O47" s="78"/>
      <c r="P47" s="78"/>
      <c r="Q47" s="78"/>
      <c r="R47" s="96" t="s">
        <v>37</v>
      </c>
      <c r="S47" s="103">
        <v>12.8571428571429</v>
      </c>
      <c r="T47" s="103">
        <v>82.116810753055</v>
      </c>
      <c r="V47" s="105"/>
    </row>
    <row r="48" ht="9" customHeight="1" spans="1:22">
      <c r="A48" s="35"/>
      <c r="B48" s="69"/>
      <c r="C48" s="69"/>
      <c r="D48" s="69"/>
      <c r="E48" s="69"/>
      <c r="F48" s="69"/>
      <c r="G48" s="69"/>
      <c r="H48" s="72" t="str">
        <f t="shared" si="0"/>
        <v>Sweden</v>
      </c>
      <c r="I48" s="69"/>
      <c r="J48" s="69"/>
      <c r="K48" s="69"/>
      <c r="L48" s="69"/>
      <c r="M48" s="79"/>
      <c r="N48" s="35"/>
      <c r="O48" s="78"/>
      <c r="P48" s="78"/>
      <c r="Q48" s="78"/>
      <c r="R48" s="96" t="s">
        <v>50</v>
      </c>
      <c r="S48" s="103">
        <v>12.8571428571429</v>
      </c>
      <c r="T48" s="103">
        <v>77.6</v>
      </c>
      <c r="U48" s="104"/>
      <c r="V48" s="105"/>
    </row>
    <row r="49" ht="9" customHeight="1" spans="1:22">
      <c r="A49" s="35"/>
      <c r="B49" s="69"/>
      <c r="C49" s="69"/>
      <c r="D49" s="69"/>
      <c r="E49" s="69"/>
      <c r="F49" s="69"/>
      <c r="G49" s="69"/>
      <c r="H49" s="72" t="str">
        <f t="shared" si="0"/>
        <v>Mexico</v>
      </c>
      <c r="I49" s="69"/>
      <c r="J49" s="69"/>
      <c r="K49" s="69"/>
      <c r="L49" s="69"/>
      <c r="M49" s="76"/>
      <c r="N49" s="76"/>
      <c r="O49" s="80"/>
      <c r="P49" s="78"/>
      <c r="Q49" s="78"/>
      <c r="R49" s="96" t="s">
        <v>41</v>
      </c>
      <c r="S49" s="103">
        <v>12</v>
      </c>
      <c r="T49" s="103">
        <v>100</v>
      </c>
      <c r="V49" s="105"/>
    </row>
    <row r="50" ht="9" customHeight="1" spans="1:22">
      <c r="A50" s="35"/>
      <c r="B50" s="69"/>
      <c r="C50" s="69"/>
      <c r="D50" s="69"/>
      <c r="E50" s="69"/>
      <c r="F50" s="69"/>
      <c r="G50" s="69"/>
      <c r="H50" s="72" t="str">
        <f t="shared" si="0"/>
        <v>Finland</v>
      </c>
      <c r="I50" s="69"/>
      <c r="J50" s="69"/>
      <c r="K50" s="69"/>
      <c r="L50" s="69"/>
      <c r="M50" s="76"/>
      <c r="N50" s="76"/>
      <c r="O50" s="80"/>
      <c r="P50" s="78"/>
      <c r="Q50" s="78"/>
      <c r="R50" s="96" t="s">
        <v>27</v>
      </c>
      <c r="S50" s="103">
        <v>6.67</v>
      </c>
      <c r="T50" s="103">
        <v>84.7719295975578</v>
      </c>
      <c r="U50" s="104"/>
      <c r="V50" s="105"/>
    </row>
    <row r="51" ht="9" customHeight="1" spans="1:22">
      <c r="A51" s="35"/>
      <c r="B51" s="69"/>
      <c r="C51" s="69"/>
      <c r="D51" s="69"/>
      <c r="E51" s="69"/>
      <c r="F51" s="69"/>
      <c r="G51" s="69"/>
      <c r="H51" s="72" t="str">
        <f t="shared" si="0"/>
        <v>Portugal</v>
      </c>
      <c r="I51" s="69"/>
      <c r="J51" s="69"/>
      <c r="K51" s="69"/>
      <c r="L51" s="69"/>
      <c r="M51" s="76"/>
      <c r="N51" s="76"/>
      <c r="O51" s="80"/>
      <c r="P51" s="78"/>
      <c r="Q51" s="78"/>
      <c r="R51" s="96" t="s">
        <v>46</v>
      </c>
      <c r="S51" s="103">
        <v>6</v>
      </c>
      <c r="T51" s="103">
        <v>100</v>
      </c>
      <c r="V51" s="105"/>
    </row>
    <row r="52" ht="9" customHeight="1" spans="1:22">
      <c r="A52" s="35"/>
      <c r="B52" s="69"/>
      <c r="C52" s="69"/>
      <c r="D52" s="69"/>
      <c r="E52" s="69"/>
      <c r="F52" s="69"/>
      <c r="G52" s="69"/>
      <c r="H52" s="72" t="str">
        <f t="shared" si="0"/>
        <v>Australia</v>
      </c>
      <c r="I52" s="69"/>
      <c r="J52" s="69"/>
      <c r="K52" s="69"/>
      <c r="L52" s="69"/>
      <c r="M52" s="76"/>
      <c r="N52" s="76"/>
      <c r="O52" s="80"/>
      <c r="P52" s="78"/>
      <c r="Q52" s="78"/>
      <c r="R52" s="96" t="s">
        <v>17</v>
      </c>
      <c r="S52" s="103">
        <v>2</v>
      </c>
      <c r="T52" s="103">
        <v>46.1056899840349</v>
      </c>
      <c r="U52" s="104"/>
      <c r="V52" s="105"/>
    </row>
    <row r="53" spans="1:20">
      <c r="A53" s="35"/>
      <c r="B53" s="69"/>
      <c r="C53" s="69"/>
      <c r="D53" s="69"/>
      <c r="E53" s="69"/>
      <c r="F53" s="69"/>
      <c r="G53" s="69"/>
      <c r="H53" s="72" t="str">
        <f t="shared" si="0"/>
        <v>United States</v>
      </c>
      <c r="I53" s="69"/>
      <c r="J53" s="69"/>
      <c r="K53" s="69"/>
      <c r="L53" s="69"/>
      <c r="M53" s="76"/>
      <c r="N53" s="76"/>
      <c r="O53" s="80"/>
      <c r="P53" s="78"/>
      <c r="Q53" s="78"/>
      <c r="R53" s="96" t="s">
        <v>54</v>
      </c>
      <c r="S53" s="103">
        <v>0</v>
      </c>
      <c r="T53" s="103">
        <v>0</v>
      </c>
    </row>
    <row r="54" customHeight="1" spans="1:21">
      <c r="A54" s="35"/>
      <c r="B54" s="73" t="s">
        <v>86</v>
      </c>
      <c r="C54" s="73"/>
      <c r="D54" s="73"/>
      <c r="E54" s="73"/>
      <c r="F54" s="73"/>
      <c r="G54" s="73"/>
      <c r="H54" s="73"/>
      <c r="I54" s="73"/>
      <c r="J54" s="73"/>
      <c r="K54" s="73"/>
      <c r="L54" s="73"/>
      <c r="M54" s="73"/>
      <c r="N54" s="73"/>
      <c r="O54" s="76"/>
      <c r="P54" s="78"/>
      <c r="Q54" s="78"/>
      <c r="R54" s="78"/>
      <c r="S54" s="78"/>
      <c r="T54" s="78"/>
      <c r="U54" s="99"/>
    </row>
    <row r="55" customHeight="1" spans="1:21">
      <c r="A55" s="35"/>
      <c r="B55" s="73"/>
      <c r="C55" s="73"/>
      <c r="D55" s="73"/>
      <c r="E55" s="73"/>
      <c r="F55" s="73"/>
      <c r="G55" s="73"/>
      <c r="H55" s="73"/>
      <c r="I55" s="73"/>
      <c r="J55" s="73"/>
      <c r="K55" s="73"/>
      <c r="L55" s="73"/>
      <c r="M55" s="73"/>
      <c r="N55" s="73"/>
      <c r="O55" s="76"/>
      <c r="P55" s="78"/>
      <c r="Q55" s="78"/>
      <c r="R55" s="78"/>
      <c r="S55" s="78"/>
      <c r="T55" s="78"/>
      <c r="U55" s="99"/>
    </row>
    <row r="56" customHeight="1" spans="1:20">
      <c r="A56" s="35"/>
      <c r="B56" s="75" t="s">
        <v>87</v>
      </c>
      <c r="C56" s="75"/>
      <c r="D56" s="75"/>
      <c r="E56" s="75"/>
      <c r="F56" s="75"/>
      <c r="G56" s="75"/>
      <c r="H56" s="75"/>
      <c r="I56" s="75"/>
      <c r="J56" s="75"/>
      <c r="K56" s="75"/>
      <c r="L56" s="75"/>
      <c r="M56" s="75"/>
      <c r="N56" s="75"/>
      <c r="O56" s="78"/>
      <c r="P56" s="78"/>
      <c r="Q56" s="78"/>
      <c r="R56" s="78"/>
      <c r="S56" s="78"/>
      <c r="T56" s="78"/>
    </row>
    <row r="57" spans="1:20">
      <c r="A57" s="35"/>
      <c r="B57" s="76"/>
      <c r="C57" s="76"/>
      <c r="D57" s="76"/>
      <c r="E57" s="76"/>
      <c r="F57" s="76"/>
      <c r="G57" s="76"/>
      <c r="H57" s="76"/>
      <c r="I57" s="76"/>
      <c r="J57" s="76"/>
      <c r="K57" s="76"/>
      <c r="L57" s="76"/>
      <c r="M57" s="35"/>
      <c r="N57" s="35"/>
      <c r="O57" s="78"/>
      <c r="P57" s="78"/>
      <c r="Q57" s="78"/>
      <c r="R57" s="78"/>
      <c r="S57" s="78"/>
      <c r="T57" s="78"/>
    </row>
    <row r="58" spans="2:20">
      <c r="B58" s="77"/>
      <c r="C58" s="77"/>
      <c r="D58" s="77"/>
      <c r="E58" s="77"/>
      <c r="F58" s="77"/>
      <c r="G58" s="77"/>
      <c r="H58" s="77"/>
      <c r="I58" s="77"/>
      <c r="J58" s="77"/>
      <c r="K58" s="77"/>
      <c r="L58" s="77"/>
      <c r="R58" s="62"/>
      <c r="S58" s="62"/>
      <c r="T58" s="62"/>
    </row>
    <row r="59" spans="2:20">
      <c r="B59" s="77"/>
      <c r="C59" s="77"/>
      <c r="D59" s="77"/>
      <c r="E59" s="77"/>
      <c r="F59" s="77"/>
      <c r="G59" s="77"/>
      <c r="H59" s="77"/>
      <c r="I59" s="77"/>
      <c r="J59" s="77"/>
      <c r="K59" s="77"/>
      <c r="L59" s="77"/>
      <c r="R59" s="62"/>
      <c r="S59" s="62"/>
      <c r="T59" s="62"/>
    </row>
    <row r="60" spans="2:12">
      <c r="B60" s="77"/>
      <c r="C60" s="77"/>
      <c r="D60" s="77"/>
      <c r="E60" s="77"/>
      <c r="F60" s="77"/>
      <c r="G60" s="77"/>
      <c r="H60" s="77"/>
      <c r="I60" s="77"/>
      <c r="J60" s="77"/>
      <c r="K60" s="77"/>
      <c r="L60" s="77"/>
    </row>
    <row r="61" spans="2:12">
      <c r="B61" s="74"/>
      <c r="C61" s="74"/>
      <c r="D61" s="74"/>
      <c r="E61" s="74"/>
      <c r="F61" s="74"/>
      <c r="G61" s="74"/>
      <c r="H61" s="74"/>
      <c r="I61" s="74"/>
      <c r="J61" s="74"/>
      <c r="K61" s="74"/>
      <c r="L61" s="74"/>
    </row>
    <row r="62" spans="2:12">
      <c r="B62" s="74"/>
      <c r="C62" s="74"/>
      <c r="D62" s="74"/>
      <c r="E62" s="74"/>
      <c r="F62" s="74"/>
      <c r="G62" s="74"/>
      <c r="H62" s="74"/>
      <c r="I62" s="74"/>
      <c r="J62" s="74"/>
      <c r="K62" s="74"/>
      <c r="L62" s="74"/>
    </row>
    <row r="63" spans="2:12">
      <c r="B63" s="74"/>
      <c r="C63" s="74"/>
      <c r="D63" s="74"/>
      <c r="E63" s="74"/>
      <c r="F63" s="74"/>
      <c r="G63" s="74"/>
      <c r="H63" s="74"/>
      <c r="I63" s="74"/>
      <c r="J63" s="74"/>
      <c r="K63" s="74"/>
      <c r="L63" s="74"/>
    </row>
  </sheetData>
  <sortState ref="R9:T53">
    <sortCondition ref="S9:S53" descending="1"/>
    <sortCondition ref="T9:T53" descending="1"/>
  </sortState>
  <mergeCells count="7">
    <mergeCell ref="C6:G6"/>
    <mergeCell ref="I6:M6"/>
    <mergeCell ref="S7:T7"/>
    <mergeCell ref="B56:N56"/>
    <mergeCell ref="B54:N55"/>
    <mergeCell ref="B1:N2"/>
    <mergeCell ref="B3:O4"/>
  </mergeCells>
  <pageMargins left="0.0138888888888889" right="0.0138888888888889" top="0.0277777777777778" bottom="0.0277777777777778" header="0.31496062992126" footer="0.31496062992126"/>
  <pageSetup paperSize="9" orientation="portrait"/>
  <headerFooter>
    <oddFooter>&amp;C
&amp;1#&amp;"Arial Narrow"&amp;10&amp;K0000FF Unclassified - Non classifié</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PrintArea" r:id="rId10"/>
    <customPr name="SinglePanel" r:id="rId11"/>
    <customPr name="StartColorIndex" r:id="rId12"/>
    <customPr name="StartColorName" r:id="rId13"/>
    <customPr name="StyleTemplateIndex" r:id="rId14"/>
    <customPr name="StyleTemplateName" r:id="rId15"/>
  </customPropertie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63"/>
  <sheetViews>
    <sheetView showGridLines="0" workbookViewId="0">
      <selection activeCell="B1" sqref="B1:N2"/>
    </sheetView>
  </sheetViews>
  <sheetFormatPr defaultColWidth="8.8141592920354" defaultRowHeight="12.75"/>
  <cols>
    <col min="1" max="1" width="2.45132743362832" style="59" customWidth="1"/>
    <col min="2" max="2" width="2.8141592920354" style="59" customWidth="1"/>
    <col min="3" max="6" width="7.45132743362832" style="59" customWidth="1"/>
    <col min="7" max="7" width="7.45132743362832" style="60" customWidth="1"/>
    <col min="8" max="8" width="10.5398230088496" style="60" customWidth="1"/>
    <col min="9" max="9" width="7.45132743362832" style="60" customWidth="1"/>
    <col min="10" max="13" width="7.45132743362832" style="59" customWidth="1"/>
    <col min="14" max="14" width="5" style="59" customWidth="1"/>
    <col min="15" max="15" width="2.45132743362832" style="61" customWidth="1"/>
    <col min="16" max="17" width="8.8141592920354" style="62"/>
    <col min="18" max="18" width="14.2654867256637" style="63" customWidth="1"/>
    <col min="19" max="20" width="16.4513274336283" style="64" customWidth="1"/>
    <col min="21" max="21" width="8.8141592920354" style="62"/>
    <col min="22" max="16384" width="8.8141592920354" style="59"/>
  </cols>
  <sheetData>
    <row r="1" spans="1:21">
      <c r="A1" s="35"/>
      <c r="B1" s="66" t="s">
        <v>88</v>
      </c>
      <c r="C1" s="66"/>
      <c r="D1" s="66"/>
      <c r="E1" s="66"/>
      <c r="F1" s="66"/>
      <c r="G1" s="66"/>
      <c r="H1" s="66"/>
      <c r="I1" s="66"/>
      <c r="J1" s="66"/>
      <c r="K1" s="66"/>
      <c r="L1" s="66"/>
      <c r="M1" s="66"/>
      <c r="N1" s="66"/>
      <c r="O1" s="78"/>
      <c r="P1" s="78"/>
      <c r="Q1" s="78"/>
      <c r="R1" s="84"/>
      <c r="S1" s="84"/>
      <c r="T1" s="84"/>
      <c r="U1" s="85"/>
    </row>
    <row r="2" spans="1:21">
      <c r="A2" s="35"/>
      <c r="B2" s="66"/>
      <c r="C2" s="66"/>
      <c r="D2" s="66"/>
      <c r="E2" s="66"/>
      <c r="F2" s="66"/>
      <c r="G2" s="66"/>
      <c r="H2" s="66"/>
      <c r="I2" s="66"/>
      <c r="J2" s="66"/>
      <c r="K2" s="66"/>
      <c r="L2" s="66"/>
      <c r="M2" s="66"/>
      <c r="N2" s="66"/>
      <c r="O2" s="78"/>
      <c r="P2" s="78"/>
      <c r="Q2" s="78"/>
      <c r="R2" s="84"/>
      <c r="S2" s="84"/>
      <c r="T2" s="84"/>
      <c r="U2" s="85"/>
    </row>
    <row r="3" spans="1:21">
      <c r="A3" s="35"/>
      <c r="B3" s="67" t="s">
        <v>89</v>
      </c>
      <c r="C3" s="67"/>
      <c r="D3" s="67"/>
      <c r="E3" s="67"/>
      <c r="F3" s="67"/>
      <c r="G3" s="67"/>
      <c r="H3" s="67"/>
      <c r="I3" s="67"/>
      <c r="J3" s="67"/>
      <c r="K3" s="67"/>
      <c r="L3" s="67"/>
      <c r="M3" s="67"/>
      <c r="N3" s="67"/>
      <c r="O3" s="78"/>
      <c r="P3" s="78"/>
      <c r="Q3" s="78"/>
      <c r="R3" s="86"/>
      <c r="S3" s="86"/>
      <c r="T3" s="86"/>
      <c r="U3" s="85"/>
    </row>
    <row r="4" spans="1:21">
      <c r="A4" s="35"/>
      <c r="B4" s="67"/>
      <c r="C4" s="67"/>
      <c r="D4" s="67"/>
      <c r="E4" s="67"/>
      <c r="F4" s="67"/>
      <c r="G4" s="67"/>
      <c r="H4" s="67"/>
      <c r="I4" s="67"/>
      <c r="J4" s="67"/>
      <c r="K4" s="67"/>
      <c r="L4" s="67"/>
      <c r="M4" s="67"/>
      <c r="N4" s="67"/>
      <c r="O4" s="78"/>
      <c r="P4" s="78"/>
      <c r="Q4" s="78"/>
      <c r="R4" s="86"/>
      <c r="S4" s="86"/>
      <c r="T4" s="86"/>
      <c r="U4" s="85"/>
    </row>
    <row r="5" spans="1:21">
      <c r="A5" s="35"/>
      <c r="B5" s="67"/>
      <c r="C5" s="67"/>
      <c r="D5" s="67"/>
      <c r="E5" s="67"/>
      <c r="F5" s="67"/>
      <c r="G5" s="67"/>
      <c r="H5" s="67"/>
      <c r="I5" s="67"/>
      <c r="J5" s="67"/>
      <c r="K5" s="67"/>
      <c r="L5" s="67"/>
      <c r="M5" s="67"/>
      <c r="N5" s="67"/>
      <c r="O5" s="78"/>
      <c r="P5" s="78"/>
      <c r="Q5" s="78"/>
      <c r="R5" s="86"/>
      <c r="S5" s="86"/>
      <c r="T5" s="86"/>
      <c r="U5" s="85"/>
    </row>
    <row r="6" ht="32.25" customHeight="1" spans="1:21">
      <c r="A6" s="35"/>
      <c r="C6" s="68" t="s">
        <v>90</v>
      </c>
      <c r="D6" s="68"/>
      <c r="E6" s="68"/>
      <c r="F6" s="68"/>
      <c r="G6" s="68"/>
      <c r="H6" s="69"/>
      <c r="I6" s="68" t="s">
        <v>91</v>
      </c>
      <c r="J6" s="68"/>
      <c r="K6" s="68"/>
      <c r="L6" s="68"/>
      <c r="M6" s="68"/>
      <c r="N6" s="76"/>
      <c r="O6" s="78"/>
      <c r="P6" s="78"/>
      <c r="Q6" s="78"/>
      <c r="R6" s="86"/>
      <c r="S6" s="86"/>
      <c r="T6" s="86"/>
      <c r="U6" s="85"/>
    </row>
    <row r="7" ht="13.5" customHeight="1" spans="1:21">
      <c r="A7" s="35"/>
      <c r="B7" s="70"/>
      <c r="C7" s="70"/>
      <c r="D7" s="70"/>
      <c r="E7" s="70"/>
      <c r="F7" s="70"/>
      <c r="G7" s="71"/>
      <c r="H7" s="71"/>
      <c r="I7" s="71"/>
      <c r="J7" s="76"/>
      <c r="K7" s="76"/>
      <c r="L7" s="76"/>
      <c r="M7" s="76"/>
      <c r="N7" s="76"/>
      <c r="O7" s="78"/>
      <c r="P7" s="78"/>
      <c r="Q7" s="78"/>
      <c r="R7" s="91"/>
      <c r="S7" s="101" t="s">
        <v>92</v>
      </c>
      <c r="T7" s="101"/>
      <c r="U7" s="85"/>
    </row>
    <row r="8" ht="13.5" customHeight="1" spans="1:21">
      <c r="A8" s="35"/>
      <c r="B8" s="35"/>
      <c r="C8" s="35"/>
      <c r="D8" s="35"/>
      <c r="E8" s="35"/>
      <c r="F8" s="35"/>
      <c r="G8" s="71"/>
      <c r="H8" s="71"/>
      <c r="I8" s="71"/>
      <c r="J8" s="35"/>
      <c r="K8" s="35"/>
      <c r="L8" s="35"/>
      <c r="M8" s="35"/>
      <c r="N8" s="35"/>
      <c r="O8" s="78"/>
      <c r="P8" s="78"/>
      <c r="Q8" s="78"/>
      <c r="R8" s="92"/>
      <c r="S8" s="102" t="s">
        <v>84</v>
      </c>
      <c r="T8" s="102" t="s">
        <v>85</v>
      </c>
      <c r="U8" s="85"/>
    </row>
    <row r="9" ht="9" customHeight="1" spans="1:22">
      <c r="A9" s="35"/>
      <c r="B9" s="69"/>
      <c r="C9" s="69"/>
      <c r="D9" s="69"/>
      <c r="E9" s="69"/>
      <c r="F9" s="69"/>
      <c r="G9" s="69"/>
      <c r="H9" s="72" t="str">
        <f t="shared" ref="H9:H53" si="0">R9</f>
        <v>Finland</v>
      </c>
      <c r="I9" s="69"/>
      <c r="J9" s="69"/>
      <c r="K9" s="69"/>
      <c r="L9" s="69"/>
      <c r="M9" s="35"/>
      <c r="N9" s="35"/>
      <c r="O9" s="78"/>
      <c r="P9" s="78"/>
      <c r="Q9" s="78"/>
      <c r="R9" s="96" t="s">
        <v>27</v>
      </c>
      <c r="S9" s="103">
        <v>154.33</v>
      </c>
      <c r="T9" s="103">
        <v>21.8619169398292</v>
      </c>
      <c r="U9" s="104"/>
      <c r="V9" s="105"/>
    </row>
    <row r="10" ht="9" customHeight="1" spans="1:22">
      <c r="A10" s="35"/>
      <c r="B10" s="69"/>
      <c r="C10" s="69"/>
      <c r="D10" s="69"/>
      <c r="E10" s="69"/>
      <c r="F10" s="69"/>
      <c r="G10" s="69"/>
      <c r="H10" s="72" t="str">
        <f t="shared" si="0"/>
        <v>Hungary</v>
      </c>
      <c r="I10" s="69"/>
      <c r="J10" s="69"/>
      <c r="K10" s="69"/>
      <c r="L10" s="69"/>
      <c r="M10" s="35"/>
      <c r="N10" s="35"/>
      <c r="O10" s="78"/>
      <c r="P10" s="78"/>
      <c r="Q10" s="78"/>
      <c r="R10" s="96" t="s">
        <v>31</v>
      </c>
      <c r="S10" s="103">
        <v>136</v>
      </c>
      <c r="T10" s="103">
        <v>40.362487709025</v>
      </c>
      <c r="U10" s="104"/>
      <c r="V10" s="105"/>
    </row>
    <row r="11" ht="9" customHeight="1" spans="1:22">
      <c r="A11" s="35"/>
      <c r="B11" s="69"/>
      <c r="C11" s="69"/>
      <c r="D11" s="69"/>
      <c r="E11" s="69"/>
      <c r="F11" s="69"/>
      <c r="G11" s="69"/>
      <c r="H11" s="72" t="str">
        <f t="shared" si="0"/>
        <v>Slovak Republic</v>
      </c>
      <c r="I11" s="69"/>
      <c r="J11" s="69"/>
      <c r="K11" s="69"/>
      <c r="L11" s="69"/>
      <c r="M11" s="35"/>
      <c r="N11" s="35"/>
      <c r="O11" s="78"/>
      <c r="P11" s="78"/>
      <c r="Q11" s="78"/>
      <c r="R11" s="96" t="s">
        <v>47</v>
      </c>
      <c r="S11" s="103">
        <v>130</v>
      </c>
      <c r="T11" s="103">
        <v>33.3709373705818</v>
      </c>
      <c r="U11" s="104"/>
      <c r="V11" s="105"/>
    </row>
    <row r="12" ht="9" customHeight="1" spans="1:22">
      <c r="A12" s="35"/>
      <c r="B12" s="69"/>
      <c r="C12" s="69"/>
      <c r="D12" s="69"/>
      <c r="E12" s="69"/>
      <c r="F12" s="69"/>
      <c r="G12" s="69"/>
      <c r="H12" s="72" t="str">
        <f t="shared" si="0"/>
        <v>Romania</v>
      </c>
      <c r="I12" s="69"/>
      <c r="J12" s="69"/>
      <c r="K12" s="69"/>
      <c r="L12" s="69"/>
      <c r="M12" s="35"/>
      <c r="N12" s="35"/>
      <c r="O12" s="78"/>
      <c r="P12" s="78"/>
      <c r="Q12" s="78"/>
      <c r="R12" s="96" t="s">
        <v>61</v>
      </c>
      <c r="S12" s="103">
        <v>86.33</v>
      </c>
      <c r="T12" s="103">
        <v>85</v>
      </c>
      <c r="U12" s="104"/>
      <c r="V12" s="105"/>
    </row>
    <row r="13" ht="9" customHeight="1" spans="1:22">
      <c r="A13" s="35"/>
      <c r="B13" s="69"/>
      <c r="C13" s="69"/>
      <c r="D13" s="69"/>
      <c r="E13" s="69"/>
      <c r="F13" s="69"/>
      <c r="G13" s="69"/>
      <c r="H13" s="72" t="str">
        <f t="shared" si="0"/>
        <v>Latvia</v>
      </c>
      <c r="I13" s="69"/>
      <c r="J13" s="69"/>
      <c r="K13" s="69"/>
      <c r="L13" s="69"/>
      <c r="M13" s="35"/>
      <c r="N13" s="35"/>
      <c r="O13" s="78"/>
      <c r="P13" s="78"/>
      <c r="Q13" s="78"/>
      <c r="R13" s="96" t="s">
        <v>38</v>
      </c>
      <c r="S13" s="103">
        <v>78</v>
      </c>
      <c r="T13" s="103">
        <v>40.8654649904096</v>
      </c>
      <c r="U13" s="104"/>
      <c r="V13" s="105"/>
    </row>
    <row r="14" ht="9" customHeight="1" spans="1:22">
      <c r="A14" s="35"/>
      <c r="B14" s="69"/>
      <c r="C14" s="69"/>
      <c r="D14" s="69"/>
      <c r="E14" s="69"/>
      <c r="F14" s="69"/>
      <c r="G14" s="69"/>
      <c r="H14" s="72" t="str">
        <f t="shared" si="0"/>
        <v>Norway</v>
      </c>
      <c r="I14" s="69"/>
      <c r="J14" s="69"/>
      <c r="K14" s="69"/>
      <c r="L14" s="69"/>
      <c r="M14" s="35"/>
      <c r="N14" s="35"/>
      <c r="O14" s="78"/>
      <c r="P14" s="78"/>
      <c r="Q14" s="78"/>
      <c r="R14" s="96" t="s">
        <v>44</v>
      </c>
      <c r="S14" s="103">
        <v>68</v>
      </c>
      <c r="T14" s="103">
        <v>32.5895770512248</v>
      </c>
      <c r="U14" s="104"/>
      <c r="V14" s="105"/>
    </row>
    <row r="15" ht="9" customHeight="1" spans="1:22">
      <c r="A15" s="35"/>
      <c r="B15" s="69"/>
      <c r="C15" s="69"/>
      <c r="D15" s="69"/>
      <c r="E15" s="69"/>
      <c r="F15" s="69"/>
      <c r="G15" s="69"/>
      <c r="H15" s="72" t="str">
        <f t="shared" si="0"/>
        <v>Estonia</v>
      </c>
      <c r="I15" s="69"/>
      <c r="J15" s="69"/>
      <c r="K15" s="69"/>
      <c r="L15" s="69"/>
      <c r="M15" s="35"/>
      <c r="N15" s="35"/>
      <c r="O15" s="78"/>
      <c r="P15" s="78"/>
      <c r="Q15" s="78"/>
      <c r="R15" s="96" t="s">
        <v>26</v>
      </c>
      <c r="S15" s="103">
        <v>67.8571428571429</v>
      </c>
      <c r="T15" s="103">
        <v>100</v>
      </c>
      <c r="U15" s="104"/>
      <c r="V15" s="105"/>
    </row>
    <row r="16" ht="9" customHeight="1" spans="1:22">
      <c r="A16" s="35"/>
      <c r="B16" s="69"/>
      <c r="C16" s="69"/>
      <c r="D16" s="69"/>
      <c r="E16" s="69"/>
      <c r="F16" s="69"/>
      <c r="G16" s="69"/>
      <c r="H16" s="72" t="str">
        <f t="shared" si="0"/>
        <v>Lithuania</v>
      </c>
      <c r="I16" s="69"/>
      <c r="J16" s="69"/>
      <c r="K16" s="69"/>
      <c r="L16" s="69"/>
      <c r="M16" s="35"/>
      <c r="N16" s="35"/>
      <c r="O16" s="78"/>
      <c r="P16" s="78"/>
      <c r="Q16" s="78"/>
      <c r="R16" s="96" t="s">
        <v>39</v>
      </c>
      <c r="S16" s="103">
        <v>61.66666</v>
      </c>
      <c r="T16" s="103">
        <v>62.4698707534995</v>
      </c>
      <c r="U16" s="104"/>
      <c r="V16" s="105"/>
    </row>
    <row r="17" ht="9" customHeight="1" spans="1:22">
      <c r="A17" s="35"/>
      <c r="B17" s="69"/>
      <c r="C17" s="69"/>
      <c r="D17" s="69"/>
      <c r="E17" s="69"/>
      <c r="F17" s="69"/>
      <c r="G17" s="69"/>
      <c r="H17" s="72" t="str">
        <f t="shared" si="0"/>
        <v>Korea</v>
      </c>
      <c r="I17" s="69"/>
      <c r="J17" s="69"/>
      <c r="K17" s="69"/>
      <c r="L17" s="69"/>
      <c r="M17" s="35"/>
      <c r="N17" s="35"/>
      <c r="O17" s="78"/>
      <c r="P17" s="78"/>
      <c r="Q17" s="78"/>
      <c r="R17" s="96" t="s">
        <v>37</v>
      </c>
      <c r="S17" s="103">
        <v>52</v>
      </c>
      <c r="T17" s="103">
        <v>52.3925421786634</v>
      </c>
      <c r="U17" s="104"/>
      <c r="V17" s="105"/>
    </row>
    <row r="18" ht="9" customHeight="1" spans="1:22">
      <c r="A18" s="35"/>
      <c r="B18" s="69"/>
      <c r="C18" s="69"/>
      <c r="D18" s="69"/>
      <c r="E18" s="69"/>
      <c r="F18" s="69"/>
      <c r="G18" s="69"/>
      <c r="H18" s="72" t="str">
        <f t="shared" si="0"/>
        <v>Bulgaria</v>
      </c>
      <c r="I18" s="69"/>
      <c r="J18" s="69"/>
      <c r="K18" s="69"/>
      <c r="L18" s="69"/>
      <c r="M18" s="35"/>
      <c r="N18" s="35"/>
      <c r="O18" s="78"/>
      <c r="P18" s="78"/>
      <c r="Q18" s="78"/>
      <c r="R18" s="96" t="s">
        <v>57</v>
      </c>
      <c r="S18" s="103">
        <v>51.86</v>
      </c>
      <c r="T18" s="103">
        <v>39.3875140570503</v>
      </c>
      <c r="U18" s="104"/>
      <c r="V18" s="105"/>
    </row>
    <row r="19" ht="9" customHeight="1" spans="1:22">
      <c r="A19" s="35"/>
      <c r="B19" s="69"/>
      <c r="C19" s="69"/>
      <c r="D19" s="69"/>
      <c r="E19" s="69"/>
      <c r="F19" s="69"/>
      <c r="G19" s="69"/>
      <c r="H19" s="72" t="str">
        <f t="shared" si="0"/>
        <v>EU average</v>
      </c>
      <c r="I19" s="69"/>
      <c r="J19" s="69"/>
      <c r="K19" s="69"/>
      <c r="L19" s="69"/>
      <c r="M19" s="35"/>
      <c r="N19" s="35"/>
      <c r="O19" s="78"/>
      <c r="P19" s="78"/>
      <c r="Q19" s="78"/>
      <c r="R19" s="96" t="s">
        <v>62</v>
      </c>
      <c r="S19" s="103">
        <v>45.1817701629801</v>
      </c>
      <c r="T19" s="103" t="s">
        <v>56</v>
      </c>
      <c r="U19" s="104"/>
      <c r="V19" s="105"/>
    </row>
    <row r="20" ht="9" customHeight="1" spans="1:22">
      <c r="A20" s="35"/>
      <c r="B20" s="69"/>
      <c r="C20" s="69"/>
      <c r="D20" s="69"/>
      <c r="E20" s="69"/>
      <c r="F20" s="69"/>
      <c r="G20" s="69"/>
      <c r="H20" s="72" t="str">
        <f t="shared" si="0"/>
        <v>Austria</v>
      </c>
      <c r="I20" s="69"/>
      <c r="J20" s="69"/>
      <c r="K20" s="69"/>
      <c r="L20" s="69"/>
      <c r="M20" s="35"/>
      <c r="N20" s="35"/>
      <c r="O20" s="78"/>
      <c r="P20" s="78"/>
      <c r="Q20" s="78"/>
      <c r="R20" s="96" t="s">
        <v>18</v>
      </c>
      <c r="S20" s="103">
        <v>44</v>
      </c>
      <c r="T20" s="103">
        <v>80</v>
      </c>
      <c r="U20" s="104"/>
      <c r="V20" s="105"/>
    </row>
    <row r="21" ht="9" customHeight="1" spans="1:22">
      <c r="A21" s="35"/>
      <c r="B21" s="69"/>
      <c r="C21" s="69"/>
      <c r="D21" s="69"/>
      <c r="E21" s="69"/>
      <c r="F21" s="69"/>
      <c r="G21" s="69"/>
      <c r="H21" s="72" t="str">
        <f t="shared" si="0"/>
        <v>Germany</v>
      </c>
      <c r="I21" s="69"/>
      <c r="J21" s="69"/>
      <c r="K21" s="69"/>
      <c r="L21" s="69"/>
      <c r="M21" s="35"/>
      <c r="N21" s="35"/>
      <c r="O21" s="78"/>
      <c r="P21" s="78"/>
      <c r="Q21" s="78"/>
      <c r="R21" s="96" t="s">
        <v>29</v>
      </c>
      <c r="S21" s="103">
        <v>44</v>
      </c>
      <c r="T21" s="103">
        <v>65</v>
      </c>
      <c r="U21" s="104"/>
      <c r="V21" s="105"/>
    </row>
    <row r="22" ht="9" customHeight="1" spans="1:22">
      <c r="A22" s="35"/>
      <c r="B22" s="69"/>
      <c r="C22" s="69"/>
      <c r="D22" s="69"/>
      <c r="E22" s="69"/>
      <c r="F22" s="69"/>
      <c r="G22" s="69"/>
      <c r="H22" s="72" t="str">
        <f t="shared" si="0"/>
        <v>Japan</v>
      </c>
      <c r="I22" s="69"/>
      <c r="J22" s="69"/>
      <c r="K22" s="69"/>
      <c r="L22" s="69"/>
      <c r="M22" s="35"/>
      <c r="N22" s="35"/>
      <c r="O22" s="78"/>
      <c r="P22" s="78"/>
      <c r="Q22" s="78"/>
      <c r="R22" s="96" t="s">
        <v>36</v>
      </c>
      <c r="S22" s="103">
        <v>44</v>
      </c>
      <c r="T22" s="103">
        <v>59.9350649350649</v>
      </c>
      <c r="U22" s="104"/>
      <c r="V22" s="105"/>
    </row>
    <row r="23" ht="9" customHeight="1" spans="1:22">
      <c r="A23" s="35"/>
      <c r="B23" s="69"/>
      <c r="C23" s="69"/>
      <c r="D23" s="69"/>
      <c r="E23" s="69"/>
      <c r="F23" s="69"/>
      <c r="G23" s="69"/>
      <c r="H23" s="72" t="str">
        <f t="shared" si="0"/>
        <v>Sweden</v>
      </c>
      <c r="I23" s="69"/>
      <c r="J23" s="69"/>
      <c r="K23" s="69"/>
      <c r="L23" s="69"/>
      <c r="M23" s="35"/>
      <c r="N23" s="35"/>
      <c r="O23" s="78"/>
      <c r="P23" s="78"/>
      <c r="Q23" s="78"/>
      <c r="R23" s="96" t="s">
        <v>50</v>
      </c>
      <c r="S23" s="103">
        <v>42.8571428571429</v>
      </c>
      <c r="T23" s="103">
        <v>57.0559084964857</v>
      </c>
      <c r="U23" s="104"/>
      <c r="V23" s="105"/>
    </row>
    <row r="24" ht="9" customHeight="1" spans="1:22">
      <c r="A24" s="35"/>
      <c r="B24" s="69"/>
      <c r="C24" s="69"/>
      <c r="D24" s="69"/>
      <c r="E24" s="69"/>
      <c r="F24" s="69"/>
      <c r="G24" s="69"/>
      <c r="H24" s="72" t="str">
        <f t="shared" si="0"/>
        <v>Czechia</v>
      </c>
      <c r="I24" s="69"/>
      <c r="J24" s="69"/>
      <c r="K24" s="69"/>
      <c r="L24" s="69"/>
      <c r="M24" s="35"/>
      <c r="N24" s="35"/>
      <c r="O24" s="78"/>
      <c r="P24" s="78"/>
      <c r="Q24" s="78"/>
      <c r="R24" s="96" t="s">
        <v>24</v>
      </c>
      <c r="S24" s="103">
        <v>40.4579882099865</v>
      </c>
      <c r="T24" s="103">
        <v>86.6027863344096</v>
      </c>
      <c r="U24" s="104"/>
      <c r="V24" s="105"/>
    </row>
    <row r="25" ht="9" customHeight="1" spans="1:22">
      <c r="A25" s="35"/>
      <c r="B25" s="69"/>
      <c r="C25" s="69"/>
      <c r="D25" s="69"/>
      <c r="E25" s="69"/>
      <c r="F25" s="69"/>
      <c r="G25" s="69"/>
      <c r="H25" s="72" t="str">
        <f t="shared" si="0"/>
        <v>Slovenia</v>
      </c>
      <c r="I25" s="69"/>
      <c r="J25" s="69"/>
      <c r="K25" s="69"/>
      <c r="L25" s="69"/>
      <c r="M25" s="35"/>
      <c r="N25" s="35"/>
      <c r="O25" s="78"/>
      <c r="P25" s="78"/>
      <c r="Q25" s="78"/>
      <c r="R25" s="96" t="s">
        <v>48</v>
      </c>
      <c r="S25" s="103">
        <v>37.1428571428571</v>
      </c>
      <c r="T25" s="103">
        <v>100</v>
      </c>
      <c r="U25" s="104"/>
      <c r="V25" s="105"/>
    </row>
    <row r="26" ht="9" customHeight="1" spans="1:22">
      <c r="A26" s="35"/>
      <c r="B26" s="69"/>
      <c r="C26" s="69"/>
      <c r="D26" s="69"/>
      <c r="E26" s="69"/>
      <c r="F26" s="69"/>
      <c r="G26" s="69"/>
      <c r="H26" s="72" t="str">
        <f t="shared" si="0"/>
        <v>Canada</v>
      </c>
      <c r="I26" s="69"/>
      <c r="J26" s="69"/>
      <c r="K26" s="69"/>
      <c r="L26" s="69"/>
      <c r="M26" s="35"/>
      <c r="N26" s="35"/>
      <c r="O26" s="78"/>
      <c r="P26" s="78"/>
      <c r="Q26" s="78"/>
      <c r="R26" s="96" t="s">
        <v>20</v>
      </c>
      <c r="S26" s="103">
        <v>35</v>
      </c>
      <c r="T26" s="103">
        <v>40.4992947604975</v>
      </c>
      <c r="U26" s="104"/>
      <c r="V26" s="105"/>
    </row>
    <row r="27" ht="9" customHeight="1" spans="1:22">
      <c r="A27" s="35"/>
      <c r="B27" s="69"/>
      <c r="C27" s="69"/>
      <c r="D27" s="69"/>
      <c r="E27" s="69"/>
      <c r="F27" s="69"/>
      <c r="G27" s="69"/>
      <c r="H27" s="72" t="str">
        <f t="shared" si="0"/>
        <v>OECD average</v>
      </c>
      <c r="I27" s="69"/>
      <c r="J27" s="69"/>
      <c r="K27" s="69"/>
      <c r="L27" s="69"/>
      <c r="M27" s="35"/>
      <c r="N27" s="35"/>
      <c r="O27" s="78"/>
      <c r="P27" s="78"/>
      <c r="Q27" s="78"/>
      <c r="R27" s="96" t="s">
        <v>55</v>
      </c>
      <c r="S27" s="103">
        <v>33.6855735368543</v>
      </c>
      <c r="T27" s="103" t="s">
        <v>56</v>
      </c>
      <c r="U27" s="104"/>
      <c r="V27" s="105"/>
    </row>
    <row r="28" ht="9" customHeight="1" spans="1:22">
      <c r="A28" s="35"/>
      <c r="B28" s="69"/>
      <c r="C28" s="69"/>
      <c r="D28" s="69"/>
      <c r="E28" s="69"/>
      <c r="F28" s="69"/>
      <c r="G28" s="69"/>
      <c r="H28" s="72" t="str">
        <f t="shared" si="0"/>
        <v>Poland</v>
      </c>
      <c r="I28" s="69"/>
      <c r="J28" s="69"/>
      <c r="K28" s="69"/>
      <c r="L28" s="69"/>
      <c r="M28" s="35"/>
      <c r="N28" s="35"/>
      <c r="O28" s="78"/>
      <c r="P28" s="78"/>
      <c r="Q28" s="78"/>
      <c r="R28" s="96" t="s">
        <v>45</v>
      </c>
      <c r="S28" s="103">
        <v>32</v>
      </c>
      <c r="T28" s="103">
        <v>63.4375</v>
      </c>
      <c r="U28" s="104"/>
      <c r="V28" s="105"/>
    </row>
    <row r="29" ht="9" customHeight="1" spans="1:22">
      <c r="A29" s="35"/>
      <c r="B29" s="69"/>
      <c r="C29" s="69"/>
      <c r="D29" s="69"/>
      <c r="E29" s="69"/>
      <c r="F29" s="69"/>
      <c r="G29" s="69"/>
      <c r="H29" s="72" t="str">
        <f t="shared" si="0"/>
        <v>Luxembourg</v>
      </c>
      <c r="I29" s="69"/>
      <c r="J29" s="69"/>
      <c r="K29" s="69"/>
      <c r="L29" s="69"/>
      <c r="M29" s="35"/>
      <c r="N29" s="35"/>
      <c r="O29" s="78"/>
      <c r="P29" s="78"/>
      <c r="Q29" s="78"/>
      <c r="R29" s="96" t="s">
        <v>40</v>
      </c>
      <c r="S29" s="103">
        <v>26</v>
      </c>
      <c r="T29" s="103">
        <v>71.1133603465639</v>
      </c>
      <c r="U29" s="104"/>
      <c r="V29" s="105"/>
    </row>
    <row r="30" ht="9" customHeight="1" spans="1:22">
      <c r="A30" s="35"/>
      <c r="B30" s="69"/>
      <c r="C30" s="69"/>
      <c r="D30" s="69"/>
      <c r="E30" s="69"/>
      <c r="F30" s="69"/>
      <c r="G30" s="69"/>
      <c r="H30" s="72" t="str">
        <f t="shared" si="0"/>
        <v>Croatia</v>
      </c>
      <c r="I30" s="69"/>
      <c r="J30" s="69"/>
      <c r="K30" s="69"/>
      <c r="L30" s="69"/>
      <c r="M30" s="35"/>
      <c r="N30" s="35"/>
      <c r="O30" s="78"/>
      <c r="P30" s="78"/>
      <c r="Q30" s="78"/>
      <c r="R30" s="96" t="s">
        <v>58</v>
      </c>
      <c r="S30" s="103">
        <v>26</v>
      </c>
      <c r="T30" s="103">
        <v>67.7540683977247</v>
      </c>
      <c r="U30" s="104"/>
      <c r="V30" s="105"/>
    </row>
    <row r="31" ht="9" customHeight="1" spans="1:22">
      <c r="A31" s="35"/>
      <c r="B31" s="69"/>
      <c r="C31" s="69"/>
      <c r="D31" s="69"/>
      <c r="E31" s="69"/>
      <c r="F31" s="69"/>
      <c r="G31" s="69"/>
      <c r="H31" s="72" t="str">
        <f t="shared" si="0"/>
        <v>Italy</v>
      </c>
      <c r="I31" s="69"/>
      <c r="J31" s="69"/>
      <c r="K31" s="69"/>
      <c r="L31" s="69"/>
      <c r="M31" s="35"/>
      <c r="N31" s="35"/>
      <c r="O31" s="78"/>
      <c r="P31" s="78"/>
      <c r="Q31" s="78"/>
      <c r="R31" s="96" t="s">
        <v>35</v>
      </c>
      <c r="S31" s="103">
        <v>26</v>
      </c>
      <c r="T31" s="103">
        <v>30</v>
      </c>
      <c r="U31" s="104"/>
      <c r="V31" s="105"/>
    </row>
    <row r="32" ht="9" customHeight="1" spans="1:22">
      <c r="A32" s="35"/>
      <c r="B32" s="69"/>
      <c r="C32" s="69"/>
      <c r="D32" s="69"/>
      <c r="E32" s="69"/>
      <c r="F32" s="69"/>
      <c r="G32" s="69"/>
      <c r="H32" s="72" t="str">
        <f t="shared" si="0"/>
        <v>France</v>
      </c>
      <c r="I32" s="69"/>
      <c r="J32" s="69"/>
      <c r="K32" s="69"/>
      <c r="L32" s="69"/>
      <c r="M32" s="35"/>
      <c r="N32" s="35"/>
      <c r="O32" s="78"/>
      <c r="P32" s="78"/>
      <c r="Q32" s="78"/>
      <c r="R32" s="96" t="s">
        <v>28</v>
      </c>
      <c r="S32" s="103">
        <v>26</v>
      </c>
      <c r="T32" s="103">
        <v>14.5113669271446</v>
      </c>
      <c r="U32" s="104"/>
      <c r="V32" s="105"/>
    </row>
    <row r="33" ht="9" customHeight="1" spans="1:22">
      <c r="A33" s="35"/>
      <c r="B33" s="69"/>
      <c r="C33" s="69"/>
      <c r="D33" s="69"/>
      <c r="E33" s="69"/>
      <c r="F33" s="69"/>
      <c r="G33" s="69"/>
      <c r="H33" s="72" t="str">
        <f t="shared" si="0"/>
        <v>Greece</v>
      </c>
      <c r="I33" s="69"/>
      <c r="J33" s="69"/>
      <c r="K33" s="69"/>
      <c r="L33" s="69"/>
      <c r="M33" s="35"/>
      <c r="N33" s="35"/>
      <c r="O33" s="78"/>
      <c r="P33" s="78"/>
      <c r="Q33" s="78"/>
      <c r="R33" s="96" t="s">
        <v>30</v>
      </c>
      <c r="S33" s="103">
        <v>24.26667</v>
      </c>
      <c r="T33" s="103">
        <v>79.6532992888791</v>
      </c>
      <c r="U33" s="104"/>
      <c r="V33" s="105"/>
    </row>
    <row r="34" ht="9" customHeight="1" spans="1:22">
      <c r="A34" s="35"/>
      <c r="B34" s="69"/>
      <c r="C34" s="69"/>
      <c r="D34" s="69"/>
      <c r="E34" s="69"/>
      <c r="F34" s="69"/>
      <c r="G34" s="69"/>
      <c r="H34" s="72" t="str">
        <f t="shared" si="0"/>
        <v>Portugal</v>
      </c>
      <c r="I34" s="69"/>
      <c r="J34" s="69"/>
      <c r="K34" s="69"/>
      <c r="L34" s="69"/>
      <c r="M34" s="35"/>
      <c r="N34" s="35"/>
      <c r="O34" s="78"/>
      <c r="P34" s="78"/>
      <c r="Q34" s="78"/>
      <c r="R34" s="96" t="s">
        <v>46</v>
      </c>
      <c r="S34" s="103">
        <v>24.14</v>
      </c>
      <c r="T34" s="103">
        <v>67.6884838442419</v>
      </c>
      <c r="U34" s="104"/>
      <c r="V34" s="105"/>
    </row>
    <row r="35" ht="9" customHeight="1" spans="1:22">
      <c r="A35" s="35"/>
      <c r="B35" s="69"/>
      <c r="C35" s="69"/>
      <c r="D35" s="69"/>
      <c r="E35" s="69"/>
      <c r="F35" s="69"/>
      <c r="G35" s="69"/>
      <c r="H35" s="72" t="str">
        <f t="shared" si="0"/>
        <v>Denmark</v>
      </c>
      <c r="I35" s="69"/>
      <c r="J35" s="69"/>
      <c r="K35" s="69"/>
      <c r="L35" s="69"/>
      <c r="M35" s="35"/>
      <c r="N35" s="35"/>
      <c r="O35" s="78"/>
      <c r="P35" s="78"/>
      <c r="Q35" s="78"/>
      <c r="R35" s="96" t="s">
        <v>25</v>
      </c>
      <c r="S35" s="103">
        <v>19</v>
      </c>
      <c r="T35" s="103">
        <v>49.6970221170345</v>
      </c>
      <c r="U35" s="104"/>
      <c r="V35" s="105"/>
    </row>
    <row r="36" ht="9" customHeight="1" spans="1:22">
      <c r="A36" s="35"/>
      <c r="B36" s="69"/>
      <c r="C36" s="69"/>
      <c r="D36" s="69"/>
      <c r="E36" s="69"/>
      <c r="F36" s="69"/>
      <c r="G36" s="69"/>
      <c r="H36" s="72" t="str">
        <f t="shared" si="0"/>
        <v>Belgium</v>
      </c>
      <c r="I36" s="69"/>
      <c r="J36" s="69"/>
      <c r="K36" s="69"/>
      <c r="L36" s="69"/>
      <c r="M36" s="35"/>
      <c r="N36" s="35"/>
      <c r="O36" s="78"/>
      <c r="P36" s="78"/>
      <c r="Q36" s="78"/>
      <c r="R36" s="96" t="s">
        <v>19</v>
      </c>
      <c r="S36" s="103">
        <v>17.3333333333333</v>
      </c>
      <c r="T36" s="103">
        <v>20.1941104390291</v>
      </c>
      <c r="U36" s="104"/>
      <c r="V36" s="105"/>
    </row>
    <row r="37" ht="9" customHeight="1" spans="1:22">
      <c r="A37" s="35"/>
      <c r="B37" s="69"/>
      <c r="C37" s="69"/>
      <c r="D37" s="69"/>
      <c r="E37" s="69"/>
      <c r="F37" s="69"/>
      <c r="G37" s="69"/>
      <c r="H37" s="72" t="str">
        <f t="shared" si="0"/>
        <v>Australia</v>
      </c>
      <c r="I37" s="69"/>
      <c r="J37" s="69"/>
      <c r="K37" s="69"/>
      <c r="L37" s="69"/>
      <c r="M37" s="35"/>
      <c r="N37" s="35"/>
      <c r="O37" s="78"/>
      <c r="Q37" s="78"/>
      <c r="R37" s="96" t="s">
        <v>17</v>
      </c>
      <c r="S37" s="103">
        <v>16</v>
      </c>
      <c r="T37" s="103">
        <v>46.1056899840349</v>
      </c>
      <c r="U37" s="104"/>
      <c r="V37" s="105"/>
    </row>
    <row r="38" ht="9" customHeight="1" spans="1:22">
      <c r="A38" s="35"/>
      <c r="B38" s="69"/>
      <c r="C38" s="69"/>
      <c r="D38" s="69"/>
      <c r="E38" s="69"/>
      <c r="F38" s="69"/>
      <c r="G38" s="69"/>
      <c r="H38" s="72" t="str">
        <f t="shared" si="0"/>
        <v>Chile</v>
      </c>
      <c r="I38" s="69"/>
      <c r="J38" s="69"/>
      <c r="K38" s="69"/>
      <c r="L38" s="69"/>
      <c r="M38" s="35"/>
      <c r="N38" s="35"/>
      <c r="O38" s="78"/>
      <c r="P38" s="78"/>
      <c r="Q38" s="78"/>
      <c r="R38" s="96" t="s">
        <v>21</v>
      </c>
      <c r="S38" s="103">
        <v>12</v>
      </c>
      <c r="T38" s="103">
        <v>100</v>
      </c>
      <c r="U38" s="104"/>
      <c r="V38" s="105"/>
    </row>
    <row r="39" ht="9" customHeight="1" spans="1:22">
      <c r="A39" s="35"/>
      <c r="B39" s="69"/>
      <c r="C39" s="69"/>
      <c r="D39" s="69"/>
      <c r="E39" s="69"/>
      <c r="F39" s="69"/>
      <c r="G39" s="69"/>
      <c r="H39" s="72" t="str">
        <f t="shared" si="0"/>
        <v>Netherlands</v>
      </c>
      <c r="I39" s="69"/>
      <c r="J39" s="69"/>
      <c r="K39" s="69"/>
      <c r="L39" s="69"/>
      <c r="M39" s="35"/>
      <c r="N39" s="35"/>
      <c r="O39" s="78"/>
      <c r="P39" s="78"/>
      <c r="Q39" s="78"/>
      <c r="R39" s="96" t="s">
        <v>42</v>
      </c>
      <c r="S39" s="103">
        <v>9</v>
      </c>
      <c r="T39" s="103">
        <v>70</v>
      </c>
      <c r="U39" s="104"/>
      <c r="V39" s="105"/>
    </row>
    <row r="40" ht="9" customHeight="1" spans="1:22">
      <c r="A40" s="35"/>
      <c r="B40" s="69"/>
      <c r="C40" s="69"/>
      <c r="D40" s="69"/>
      <c r="E40" s="69"/>
      <c r="F40" s="69"/>
      <c r="G40" s="69"/>
      <c r="H40" s="72" t="str">
        <f t="shared" si="0"/>
        <v>Malta</v>
      </c>
      <c r="I40" s="69"/>
      <c r="J40" s="69"/>
      <c r="K40" s="69"/>
      <c r="L40" s="69"/>
      <c r="M40" s="35"/>
      <c r="N40" s="35"/>
      <c r="O40" s="78"/>
      <c r="P40" s="78"/>
      <c r="Q40" s="78"/>
      <c r="R40" s="96" t="s">
        <v>60</v>
      </c>
      <c r="S40" s="103">
        <v>8.666</v>
      </c>
      <c r="T40" s="103">
        <v>46.1573967228248</v>
      </c>
      <c r="U40" s="104"/>
      <c r="V40" s="105"/>
    </row>
    <row r="41" ht="9" customHeight="1" spans="1:22">
      <c r="A41" s="35"/>
      <c r="B41" s="69"/>
      <c r="C41" s="69"/>
      <c r="D41" s="69"/>
      <c r="E41" s="69"/>
      <c r="F41" s="69"/>
      <c r="G41" s="69"/>
      <c r="H41" s="72" t="str">
        <f t="shared" si="0"/>
        <v>Ireland</v>
      </c>
      <c r="I41" s="69"/>
      <c r="J41" s="69"/>
      <c r="K41" s="69"/>
      <c r="L41" s="69"/>
      <c r="M41" s="35"/>
      <c r="N41" s="35"/>
      <c r="O41" s="78"/>
      <c r="P41" s="78"/>
      <c r="Q41" s="78"/>
      <c r="R41" s="96" t="s">
        <v>33</v>
      </c>
      <c r="S41" s="103">
        <v>7</v>
      </c>
      <c r="T41" s="103">
        <v>23.5892982835077</v>
      </c>
      <c r="U41" s="85"/>
      <c r="V41" s="105"/>
    </row>
    <row r="42" ht="9" customHeight="1" spans="1:22">
      <c r="A42" s="35"/>
      <c r="B42" s="69"/>
      <c r="C42" s="69"/>
      <c r="D42" s="69"/>
      <c r="E42" s="69"/>
      <c r="F42" s="69"/>
      <c r="G42" s="69"/>
      <c r="H42" s="72" t="str">
        <f t="shared" si="0"/>
        <v>Iceland</v>
      </c>
      <c r="I42" s="69"/>
      <c r="J42" s="69"/>
      <c r="K42" s="69"/>
      <c r="L42" s="69"/>
      <c r="M42" s="35"/>
      <c r="N42" s="35"/>
      <c r="O42" s="78"/>
      <c r="P42" s="78"/>
      <c r="Q42" s="78"/>
      <c r="R42" s="96" t="s">
        <v>32</v>
      </c>
      <c r="S42" s="103">
        <v>6</v>
      </c>
      <c r="T42" s="103">
        <v>65.0612090432912</v>
      </c>
      <c r="U42" s="85"/>
      <c r="V42" s="105"/>
    </row>
    <row r="43" ht="9" customHeight="1" spans="1:22">
      <c r="A43" s="35"/>
      <c r="B43" s="69"/>
      <c r="C43" s="69"/>
      <c r="D43" s="69"/>
      <c r="E43" s="69"/>
      <c r="F43" s="69"/>
      <c r="G43" s="69"/>
      <c r="H43" s="72" t="str">
        <f t="shared" si="0"/>
        <v>Cyprus</v>
      </c>
      <c r="I43" s="69"/>
      <c r="J43" s="69"/>
      <c r="K43" s="69"/>
      <c r="L43" s="69"/>
      <c r="M43" s="35"/>
      <c r="N43" s="35"/>
      <c r="O43" s="78"/>
      <c r="P43" s="78"/>
      <c r="Q43" s="96"/>
      <c r="R43" s="96" t="s">
        <v>59</v>
      </c>
      <c r="S43" s="103">
        <v>0</v>
      </c>
      <c r="T43" s="103">
        <v>19.3967427783117</v>
      </c>
      <c r="U43" s="85"/>
      <c r="V43" s="105"/>
    </row>
    <row r="44" ht="9" customHeight="1" spans="1:22">
      <c r="A44" s="35"/>
      <c r="B44" s="69"/>
      <c r="C44" s="69"/>
      <c r="D44" s="69"/>
      <c r="E44" s="69"/>
      <c r="F44" s="69"/>
      <c r="G44" s="69"/>
      <c r="H44" s="72" t="str">
        <f t="shared" si="0"/>
        <v>United Kingdom</v>
      </c>
      <c r="I44" s="69"/>
      <c r="J44" s="69"/>
      <c r="K44" s="69"/>
      <c r="L44" s="69"/>
      <c r="M44" s="35"/>
      <c r="N44" s="35"/>
      <c r="O44" s="78"/>
      <c r="P44" s="78"/>
      <c r="Q44" s="78"/>
      <c r="R44" s="96" t="s">
        <v>53</v>
      </c>
      <c r="S44" s="103">
        <v>0</v>
      </c>
      <c r="T44" s="103">
        <v>0</v>
      </c>
      <c r="U44" s="85"/>
      <c r="V44" s="105"/>
    </row>
    <row r="45" ht="9" customHeight="1" spans="1:22">
      <c r="A45" s="35"/>
      <c r="B45" s="69"/>
      <c r="C45" s="69"/>
      <c r="D45" s="69"/>
      <c r="E45" s="69"/>
      <c r="F45" s="69"/>
      <c r="G45" s="69"/>
      <c r="H45" s="72" t="str">
        <f t="shared" si="0"/>
        <v>New Zealand</v>
      </c>
      <c r="I45" s="69"/>
      <c r="J45" s="69"/>
      <c r="K45" s="69"/>
      <c r="L45" s="69"/>
      <c r="M45" s="35"/>
      <c r="N45" s="35"/>
      <c r="O45" s="78"/>
      <c r="P45" s="78"/>
      <c r="Q45" s="78"/>
      <c r="R45" s="96" t="s">
        <v>43</v>
      </c>
      <c r="S45" s="103">
        <v>0</v>
      </c>
      <c r="T45" s="103">
        <v>0</v>
      </c>
      <c r="V45" s="105"/>
    </row>
    <row r="46" ht="9" customHeight="1" spans="1:22">
      <c r="A46" s="35"/>
      <c r="B46" s="69"/>
      <c r="C46" s="69"/>
      <c r="D46" s="69"/>
      <c r="E46" s="69"/>
      <c r="F46" s="69"/>
      <c r="G46" s="69"/>
      <c r="H46" s="72" t="str">
        <f t="shared" si="0"/>
        <v>Costa Rica</v>
      </c>
      <c r="I46" s="69"/>
      <c r="J46" s="69"/>
      <c r="K46" s="69"/>
      <c r="L46" s="69"/>
      <c r="M46" s="35"/>
      <c r="N46" s="35"/>
      <c r="O46" s="78"/>
      <c r="P46" s="78"/>
      <c r="Q46" s="78"/>
      <c r="R46" s="96" t="s">
        <v>23</v>
      </c>
      <c r="S46" s="103">
        <v>0</v>
      </c>
      <c r="T46" s="103">
        <v>0</v>
      </c>
      <c r="V46" s="105"/>
    </row>
    <row r="47" ht="9" customHeight="1" spans="1:22">
      <c r="A47" s="35"/>
      <c r="B47" s="69"/>
      <c r="C47" s="69"/>
      <c r="D47" s="69"/>
      <c r="E47" s="69"/>
      <c r="F47" s="69"/>
      <c r="G47" s="69"/>
      <c r="H47" s="72" t="str">
        <f t="shared" si="0"/>
        <v>Spain</v>
      </c>
      <c r="I47" s="69"/>
      <c r="J47" s="69"/>
      <c r="K47" s="69"/>
      <c r="L47" s="69"/>
      <c r="M47" s="79"/>
      <c r="N47" s="35"/>
      <c r="O47" s="78"/>
      <c r="P47" s="78"/>
      <c r="Q47" s="78"/>
      <c r="R47" s="96" t="s">
        <v>49</v>
      </c>
      <c r="S47" s="103">
        <v>0</v>
      </c>
      <c r="T47" s="103">
        <v>0</v>
      </c>
      <c r="U47" s="104"/>
      <c r="V47" s="105"/>
    </row>
    <row r="48" ht="9" customHeight="1" spans="1:22">
      <c r="A48" s="35"/>
      <c r="B48" s="69"/>
      <c r="C48" s="69"/>
      <c r="D48" s="69"/>
      <c r="E48" s="69"/>
      <c r="F48" s="69"/>
      <c r="G48" s="69"/>
      <c r="H48" s="72" t="str">
        <f t="shared" si="0"/>
        <v>Türkiye</v>
      </c>
      <c r="I48" s="69"/>
      <c r="J48" s="69"/>
      <c r="K48" s="69"/>
      <c r="L48" s="69"/>
      <c r="M48" s="79"/>
      <c r="N48" s="35"/>
      <c r="O48" s="78"/>
      <c r="P48" s="78"/>
      <c r="Q48" s="78"/>
      <c r="R48" s="96" t="s">
        <v>52</v>
      </c>
      <c r="S48" s="103">
        <v>0</v>
      </c>
      <c r="T48" s="103">
        <v>0</v>
      </c>
      <c r="V48" s="105"/>
    </row>
    <row r="49" ht="9" customHeight="1" spans="1:22">
      <c r="A49" s="35"/>
      <c r="B49" s="69"/>
      <c r="C49" s="69"/>
      <c r="D49" s="69"/>
      <c r="E49" s="69"/>
      <c r="F49" s="69"/>
      <c r="G49" s="69"/>
      <c r="H49" s="72" t="str">
        <f t="shared" si="0"/>
        <v>Israel</v>
      </c>
      <c r="I49" s="69"/>
      <c r="J49" s="69"/>
      <c r="K49" s="69"/>
      <c r="L49" s="69"/>
      <c r="M49" s="76"/>
      <c r="N49" s="76"/>
      <c r="O49" s="80"/>
      <c r="P49" s="78"/>
      <c r="Q49" s="96"/>
      <c r="R49" s="96" t="s">
        <v>34</v>
      </c>
      <c r="S49" s="103">
        <v>0</v>
      </c>
      <c r="T49" s="103">
        <v>0</v>
      </c>
      <c r="U49" s="104"/>
      <c r="V49" s="105"/>
    </row>
    <row r="50" ht="9" customHeight="1" spans="1:22">
      <c r="A50" s="35"/>
      <c r="B50" s="69"/>
      <c r="C50" s="69"/>
      <c r="D50" s="69"/>
      <c r="E50" s="69"/>
      <c r="F50" s="69"/>
      <c r="G50" s="69"/>
      <c r="H50" s="72" t="str">
        <f t="shared" si="0"/>
        <v>Switzerland</v>
      </c>
      <c r="I50" s="69"/>
      <c r="J50" s="69"/>
      <c r="K50" s="69"/>
      <c r="L50" s="69"/>
      <c r="M50" s="76"/>
      <c r="N50" s="76"/>
      <c r="O50" s="80"/>
      <c r="P50" s="78"/>
      <c r="Q50" s="78"/>
      <c r="R50" s="96" t="s">
        <v>51</v>
      </c>
      <c r="S50" s="103">
        <v>0</v>
      </c>
      <c r="T50" s="103">
        <v>0</v>
      </c>
      <c r="V50" s="105"/>
    </row>
    <row r="51" ht="9" customHeight="1" spans="1:22">
      <c r="A51" s="35"/>
      <c r="B51" s="69"/>
      <c r="C51" s="69"/>
      <c r="D51" s="69"/>
      <c r="E51" s="69"/>
      <c r="F51" s="69"/>
      <c r="G51" s="69"/>
      <c r="H51" s="72" t="str">
        <f t="shared" si="0"/>
        <v>Mexico</v>
      </c>
      <c r="I51" s="69"/>
      <c r="J51" s="69"/>
      <c r="K51" s="69"/>
      <c r="L51" s="69"/>
      <c r="M51" s="76"/>
      <c r="N51" s="76"/>
      <c r="O51" s="80"/>
      <c r="P51" s="78"/>
      <c r="Q51" s="78"/>
      <c r="R51" s="96" t="s">
        <v>41</v>
      </c>
      <c r="S51" s="103">
        <v>0</v>
      </c>
      <c r="T51" s="103">
        <v>0</v>
      </c>
      <c r="U51" s="104"/>
      <c r="V51" s="105"/>
    </row>
    <row r="52" ht="9" customHeight="1" spans="1:22">
      <c r="A52" s="35"/>
      <c r="B52" s="69"/>
      <c r="C52" s="69"/>
      <c r="D52" s="69"/>
      <c r="E52" s="69"/>
      <c r="F52" s="69"/>
      <c r="G52" s="69"/>
      <c r="H52" s="72" t="str">
        <f t="shared" si="0"/>
        <v>United States</v>
      </c>
      <c r="I52" s="69"/>
      <c r="J52" s="69"/>
      <c r="K52" s="69"/>
      <c r="L52" s="69"/>
      <c r="M52" s="76"/>
      <c r="N52" s="76"/>
      <c r="O52" s="80"/>
      <c r="P52" s="78"/>
      <c r="Q52" s="78"/>
      <c r="R52" s="96" t="s">
        <v>54</v>
      </c>
      <c r="S52" s="103">
        <v>0</v>
      </c>
      <c r="T52" s="103">
        <v>0</v>
      </c>
      <c r="V52" s="105"/>
    </row>
    <row r="53" spans="1:21">
      <c r="A53" s="35"/>
      <c r="B53" s="69"/>
      <c r="C53" s="69"/>
      <c r="D53" s="69"/>
      <c r="E53" s="69"/>
      <c r="F53" s="69"/>
      <c r="G53" s="69"/>
      <c r="H53" s="72" t="str">
        <f t="shared" si="0"/>
        <v>Colombia</v>
      </c>
      <c r="I53" s="69"/>
      <c r="J53" s="69"/>
      <c r="K53" s="69"/>
      <c r="L53" s="69"/>
      <c r="M53" s="76"/>
      <c r="N53" s="76"/>
      <c r="O53" s="80"/>
      <c r="P53" s="78"/>
      <c r="Q53" s="78"/>
      <c r="R53" s="96" t="s">
        <v>22</v>
      </c>
      <c r="S53" s="103">
        <v>0</v>
      </c>
      <c r="T53" s="103">
        <v>0</v>
      </c>
      <c r="U53" s="106"/>
    </row>
    <row r="54" customHeight="1" spans="1:21">
      <c r="A54" s="35"/>
      <c r="B54" s="73" t="s">
        <v>93</v>
      </c>
      <c r="C54" s="73"/>
      <c r="D54" s="73"/>
      <c r="E54" s="73"/>
      <c r="F54" s="73"/>
      <c r="G54" s="73"/>
      <c r="H54" s="73"/>
      <c r="I54" s="73"/>
      <c r="J54" s="73"/>
      <c r="K54" s="73"/>
      <c r="L54" s="73"/>
      <c r="M54" s="81"/>
      <c r="N54" s="81"/>
      <c r="O54" s="76"/>
      <c r="P54" s="78"/>
      <c r="Q54" s="78"/>
      <c r="R54" s="78"/>
      <c r="S54" s="78"/>
      <c r="T54" s="78"/>
      <c r="U54" s="99"/>
    </row>
    <row r="55" customHeight="1" spans="1:21">
      <c r="A55" s="35"/>
      <c r="B55" s="73"/>
      <c r="C55" s="73"/>
      <c r="D55" s="73"/>
      <c r="E55" s="73"/>
      <c r="F55" s="73"/>
      <c r="G55" s="73"/>
      <c r="H55" s="73"/>
      <c r="I55" s="73"/>
      <c r="J55" s="73"/>
      <c r="K55" s="73"/>
      <c r="L55" s="73"/>
      <c r="M55" s="81"/>
      <c r="N55" s="81"/>
      <c r="O55" s="76"/>
      <c r="P55" s="78"/>
      <c r="Q55" s="78"/>
      <c r="R55" s="78"/>
      <c r="S55" s="78"/>
      <c r="T55" s="78"/>
      <c r="U55" s="99"/>
    </row>
    <row r="56" customHeight="1" spans="1:20">
      <c r="A56" s="35"/>
      <c r="B56" s="75" t="s">
        <v>87</v>
      </c>
      <c r="C56" s="75"/>
      <c r="D56" s="75"/>
      <c r="E56" s="75"/>
      <c r="F56" s="75"/>
      <c r="G56" s="75"/>
      <c r="H56" s="75"/>
      <c r="I56" s="75"/>
      <c r="J56" s="75"/>
      <c r="K56" s="75"/>
      <c r="L56" s="75"/>
      <c r="M56" s="83"/>
      <c r="N56" s="83"/>
      <c r="O56" s="78"/>
      <c r="P56" s="78"/>
      <c r="Q56" s="78"/>
      <c r="R56" s="78"/>
      <c r="S56" s="78"/>
      <c r="T56" s="78"/>
    </row>
    <row r="57" spans="1:20">
      <c r="A57" s="35"/>
      <c r="B57" s="76"/>
      <c r="C57" s="76"/>
      <c r="D57" s="76"/>
      <c r="E57" s="76"/>
      <c r="F57" s="76"/>
      <c r="G57" s="76"/>
      <c r="H57" s="76"/>
      <c r="I57" s="76"/>
      <c r="J57" s="76"/>
      <c r="K57" s="76"/>
      <c r="L57" s="76"/>
      <c r="M57" s="35"/>
      <c r="N57" s="35"/>
      <c r="O57" s="78"/>
      <c r="P57" s="78"/>
      <c r="Q57" s="78"/>
      <c r="R57" s="78"/>
      <c r="S57" s="78"/>
      <c r="T57" s="78"/>
    </row>
    <row r="58" spans="2:20">
      <c r="B58" s="77"/>
      <c r="C58" s="77"/>
      <c r="D58" s="77"/>
      <c r="E58" s="77"/>
      <c r="F58" s="77"/>
      <c r="G58" s="77"/>
      <c r="H58" s="77"/>
      <c r="I58" s="77"/>
      <c r="J58" s="77"/>
      <c r="K58" s="77"/>
      <c r="L58" s="77"/>
      <c r="R58" s="62"/>
      <c r="S58" s="62"/>
      <c r="T58" s="62"/>
    </row>
    <row r="59" spans="2:20">
      <c r="B59" s="77"/>
      <c r="C59" s="77"/>
      <c r="D59" s="77"/>
      <c r="E59" s="77"/>
      <c r="F59" s="77"/>
      <c r="G59" s="77"/>
      <c r="H59" s="77"/>
      <c r="I59" s="77"/>
      <c r="J59" s="77"/>
      <c r="K59" s="77"/>
      <c r="L59" s="77"/>
      <c r="R59" s="62"/>
      <c r="S59" s="62"/>
      <c r="T59" s="62"/>
    </row>
    <row r="60" spans="2:12">
      <c r="B60" s="77"/>
      <c r="C60" s="77"/>
      <c r="D60" s="77"/>
      <c r="E60" s="77"/>
      <c r="F60" s="77"/>
      <c r="G60" s="77"/>
      <c r="H60" s="77"/>
      <c r="I60" s="77"/>
      <c r="J60" s="77"/>
      <c r="K60" s="77"/>
      <c r="L60" s="77"/>
    </row>
    <row r="61" spans="2:12">
      <c r="B61" s="74"/>
      <c r="C61" s="74"/>
      <c r="D61" s="74"/>
      <c r="E61" s="74"/>
      <c r="F61" s="74"/>
      <c r="G61" s="74"/>
      <c r="H61" s="74"/>
      <c r="I61" s="74"/>
      <c r="J61" s="74"/>
      <c r="K61" s="74"/>
      <c r="L61" s="74"/>
    </row>
    <row r="62" spans="2:12">
      <c r="B62" s="74"/>
      <c r="C62" s="74"/>
      <c r="D62" s="74"/>
      <c r="E62" s="74"/>
      <c r="F62" s="74"/>
      <c r="G62" s="74"/>
      <c r="H62" s="74"/>
      <c r="I62" s="74"/>
      <c r="J62" s="74"/>
      <c r="K62" s="74"/>
      <c r="L62" s="74"/>
    </row>
    <row r="63" spans="2:12">
      <c r="B63" s="74"/>
      <c r="C63" s="74"/>
      <c r="D63" s="74"/>
      <c r="E63" s="74"/>
      <c r="F63" s="74"/>
      <c r="G63" s="74"/>
      <c r="H63" s="74"/>
      <c r="I63" s="74"/>
      <c r="J63" s="74"/>
      <c r="K63" s="74"/>
      <c r="L63" s="74"/>
    </row>
  </sheetData>
  <sortState ref="R9:T53">
    <sortCondition ref="S9:S53" descending="1"/>
    <sortCondition ref="T9:T53" descending="1"/>
  </sortState>
  <mergeCells count="7">
    <mergeCell ref="C6:G6"/>
    <mergeCell ref="I6:M6"/>
    <mergeCell ref="S7:T7"/>
    <mergeCell ref="B56:L56"/>
    <mergeCell ref="B54:L55"/>
    <mergeCell ref="B1:N2"/>
    <mergeCell ref="B3:N4"/>
  </mergeCells>
  <pageMargins left="0.708661417322835" right="0.708661417322835" top="0.748031496062992" bottom="0.748031496062992" header="0.31496062992126" footer="0.31496062992126"/>
  <pageSetup paperSize="9" scale="97" orientation="portrait"/>
  <headerFooter>
    <oddHeader>&amp;LOECD Family Database (http://www.oecd.org/els/family/database.htm)</oddHeader>
    <oddFooter>&amp;C
&amp;1#&amp;"Arial Narrow"&amp;10&amp;K0000FF Unclassified - Non classifié</oddFooter>
  </headerFooter>
  <customProperties>
    <customPr name="PrintArea" r:id="rId2"/>
  </customPropertie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66"/>
  <sheetViews>
    <sheetView showGridLines="0" zoomScale="64" zoomScaleNormal="64" workbookViewId="0">
      <selection activeCell="B1" sqref="B1:N2"/>
    </sheetView>
  </sheetViews>
  <sheetFormatPr defaultColWidth="8.8141592920354" defaultRowHeight="12.75"/>
  <cols>
    <col min="1" max="1" width="2.45132743362832" style="59" customWidth="1"/>
    <col min="2" max="2" width="2.8141592920354" style="59" customWidth="1"/>
    <col min="3" max="6" width="7.45132743362832" style="59" customWidth="1"/>
    <col min="7" max="7" width="7.45132743362832" style="60" customWidth="1"/>
    <col min="8" max="8" width="10.5398230088496" style="60" customWidth="1"/>
    <col min="9" max="9" width="7.45132743362832" style="60" customWidth="1"/>
    <col min="10" max="13" width="7.45132743362832" style="59" customWidth="1"/>
    <col min="14" max="14" width="5" style="59" customWidth="1"/>
    <col min="15" max="15" width="2.45132743362832" style="61" customWidth="1"/>
    <col min="16" max="17" width="8.8141592920354" style="62"/>
    <col min="18" max="18" width="14.2654867256637" style="63" customWidth="1"/>
    <col min="19" max="20" width="16.4513274336283" style="64" customWidth="1"/>
    <col min="21" max="21" width="13.2654867256637" style="62" customWidth="1"/>
    <col min="22" max="22" width="8.8141592920354" style="65"/>
    <col min="23" max="16384" width="8.8141592920354" style="59"/>
  </cols>
  <sheetData>
    <row r="1" spans="1:21">
      <c r="A1" s="35"/>
      <c r="B1" s="66" t="s">
        <v>94</v>
      </c>
      <c r="C1" s="66"/>
      <c r="D1" s="66"/>
      <c r="E1" s="66"/>
      <c r="F1" s="66"/>
      <c r="G1" s="66"/>
      <c r="H1" s="66"/>
      <c r="I1" s="66"/>
      <c r="J1" s="66"/>
      <c r="K1" s="66"/>
      <c r="L1" s="66"/>
      <c r="M1" s="66"/>
      <c r="N1" s="66"/>
      <c r="O1" s="78"/>
      <c r="P1" s="78"/>
      <c r="Q1" s="78"/>
      <c r="R1" s="84"/>
      <c r="S1" s="84"/>
      <c r="T1" s="84"/>
      <c r="U1" s="85"/>
    </row>
    <row r="2" spans="1:21">
      <c r="A2" s="35"/>
      <c r="B2" s="66"/>
      <c r="C2" s="66"/>
      <c r="D2" s="66"/>
      <c r="E2" s="66"/>
      <c r="F2" s="66"/>
      <c r="G2" s="66"/>
      <c r="H2" s="66"/>
      <c r="I2" s="66"/>
      <c r="J2" s="66"/>
      <c r="K2" s="66"/>
      <c r="L2" s="66"/>
      <c r="M2" s="66"/>
      <c r="N2" s="66"/>
      <c r="O2" s="78"/>
      <c r="P2" s="78"/>
      <c r="Q2" s="78"/>
      <c r="R2" s="84"/>
      <c r="S2" s="84"/>
      <c r="T2" s="84"/>
      <c r="U2" s="85"/>
    </row>
    <row r="3" spans="1:21">
      <c r="A3" s="35"/>
      <c r="B3" s="67" t="s">
        <v>95</v>
      </c>
      <c r="C3" s="67"/>
      <c r="D3" s="67"/>
      <c r="E3" s="67"/>
      <c r="F3" s="67"/>
      <c r="G3" s="67"/>
      <c r="H3" s="67"/>
      <c r="I3" s="67"/>
      <c r="J3" s="67"/>
      <c r="K3" s="67"/>
      <c r="L3" s="67"/>
      <c r="M3" s="67"/>
      <c r="N3" s="67"/>
      <c r="O3" s="78"/>
      <c r="P3" s="78"/>
      <c r="Q3" s="78"/>
      <c r="R3" s="86"/>
      <c r="S3" s="86"/>
      <c r="T3" s="86"/>
      <c r="U3" s="85"/>
    </row>
    <row r="4" spans="1:21">
      <c r="A4" s="35"/>
      <c r="B4" s="67"/>
      <c r="C4" s="67"/>
      <c r="D4" s="67"/>
      <c r="E4" s="67"/>
      <c r="F4" s="67"/>
      <c r="G4" s="67"/>
      <c r="H4" s="67"/>
      <c r="I4" s="67"/>
      <c r="J4" s="67"/>
      <c r="K4" s="67"/>
      <c r="L4" s="67"/>
      <c r="M4" s="67"/>
      <c r="N4" s="67"/>
      <c r="O4" s="78"/>
      <c r="P4" s="78"/>
      <c r="Q4" s="78"/>
      <c r="R4" s="86"/>
      <c r="S4" s="86"/>
      <c r="T4" s="86"/>
      <c r="U4" s="85"/>
    </row>
    <row r="5" spans="1:21">
      <c r="A5" s="35"/>
      <c r="B5" s="67"/>
      <c r="C5" s="67"/>
      <c r="D5" s="67"/>
      <c r="E5" s="67"/>
      <c r="F5" s="67"/>
      <c r="G5" s="67"/>
      <c r="H5" s="67"/>
      <c r="I5" s="67"/>
      <c r="J5" s="67"/>
      <c r="K5" s="67"/>
      <c r="L5" s="67"/>
      <c r="M5" s="67"/>
      <c r="N5" s="67"/>
      <c r="O5" s="78"/>
      <c r="P5" s="78"/>
      <c r="Q5" s="78"/>
      <c r="R5" s="86"/>
      <c r="S5" s="87" t="s">
        <v>84</v>
      </c>
      <c r="T5" s="87"/>
      <c r="U5" s="85"/>
    </row>
    <row r="6" ht="32.25" customHeight="1" spans="1:21">
      <c r="A6" s="35"/>
      <c r="C6" s="68" t="s">
        <v>96</v>
      </c>
      <c r="D6" s="68"/>
      <c r="E6" s="68"/>
      <c r="F6" s="68"/>
      <c r="G6" s="68"/>
      <c r="H6" s="69"/>
      <c r="I6" s="68" t="s">
        <v>97</v>
      </c>
      <c r="J6" s="68"/>
      <c r="K6" s="68"/>
      <c r="L6" s="68"/>
      <c r="M6" s="68"/>
      <c r="N6" s="76"/>
      <c r="O6" s="78"/>
      <c r="P6" s="78"/>
      <c r="Q6" s="78"/>
      <c r="R6" s="86"/>
      <c r="S6" s="88" t="s">
        <v>98</v>
      </c>
      <c r="T6" s="89" t="s">
        <v>99</v>
      </c>
      <c r="U6" s="90" t="s">
        <v>100</v>
      </c>
    </row>
    <row r="7" ht="13.5" customHeight="1" spans="1:21">
      <c r="A7" s="35"/>
      <c r="B7" s="70"/>
      <c r="C7" s="70"/>
      <c r="D7" s="70"/>
      <c r="E7" s="70"/>
      <c r="F7" s="70"/>
      <c r="G7" s="71"/>
      <c r="H7" s="71"/>
      <c r="I7" s="71"/>
      <c r="J7" s="76"/>
      <c r="K7" s="76"/>
      <c r="L7" s="76"/>
      <c r="M7" s="76"/>
      <c r="N7" s="76"/>
      <c r="O7" s="78"/>
      <c r="P7" s="78"/>
      <c r="Q7" s="78"/>
      <c r="R7" s="91"/>
      <c r="S7" s="88"/>
      <c r="T7" s="89"/>
      <c r="U7" s="90"/>
    </row>
    <row r="8" ht="13.5" customHeight="1" spans="1:21">
      <c r="A8" s="35"/>
      <c r="B8" s="35"/>
      <c r="C8" s="35"/>
      <c r="D8" s="35"/>
      <c r="E8" s="35"/>
      <c r="F8" s="35"/>
      <c r="G8" s="71"/>
      <c r="H8" s="71"/>
      <c r="I8" s="71"/>
      <c r="J8" s="35"/>
      <c r="K8" s="35"/>
      <c r="L8" s="35"/>
      <c r="M8" s="35"/>
      <c r="N8" s="35"/>
      <c r="O8" s="78"/>
      <c r="P8" s="78"/>
      <c r="Q8" s="78"/>
      <c r="R8" s="92"/>
      <c r="S8" s="93"/>
      <c r="T8" s="94"/>
      <c r="U8" s="95"/>
    </row>
    <row r="9" ht="9" customHeight="1" spans="1:22">
      <c r="A9" s="35"/>
      <c r="B9" s="69"/>
      <c r="C9" s="69"/>
      <c r="D9" s="69"/>
      <c r="E9" s="69"/>
      <c r="F9" s="69"/>
      <c r="G9" s="69"/>
      <c r="H9" s="72" t="str">
        <f t="shared" ref="H9:H53" si="0">R9</f>
        <v>Korea</v>
      </c>
      <c r="I9" s="69"/>
      <c r="J9" s="69"/>
      <c r="K9" s="69"/>
      <c r="L9" s="69"/>
      <c r="M9" s="35"/>
      <c r="N9" s="35"/>
      <c r="O9" s="78"/>
      <c r="P9" s="78"/>
      <c r="Q9" s="78"/>
      <c r="R9" s="96" t="s">
        <v>37</v>
      </c>
      <c r="S9" s="97">
        <v>2</v>
      </c>
      <c r="T9" s="97">
        <v>52</v>
      </c>
      <c r="U9" s="97">
        <v>54.1557813572315</v>
      </c>
      <c r="V9" s="98">
        <f t="shared" ref="V9:V53" si="1">S9+T9</f>
        <v>54</v>
      </c>
    </row>
    <row r="10" ht="9" customHeight="1" spans="1:22">
      <c r="A10" s="35"/>
      <c r="B10" s="69"/>
      <c r="C10" s="69"/>
      <c r="D10" s="69"/>
      <c r="E10" s="69"/>
      <c r="F10" s="69"/>
      <c r="G10" s="69"/>
      <c r="H10" s="72" t="str">
        <f t="shared" si="0"/>
        <v>Japan</v>
      </c>
      <c r="I10" s="69"/>
      <c r="J10" s="69"/>
      <c r="K10" s="69"/>
      <c r="L10" s="69"/>
      <c r="M10" s="35"/>
      <c r="N10" s="35"/>
      <c r="O10" s="78"/>
      <c r="P10" s="78"/>
      <c r="Q10" s="78"/>
      <c r="R10" s="96" t="s">
        <v>36</v>
      </c>
      <c r="S10" s="97">
        <v>4</v>
      </c>
      <c r="T10" s="97">
        <v>48</v>
      </c>
      <c r="U10" s="97">
        <v>59.7142857142857</v>
      </c>
      <c r="V10" s="98"/>
    </row>
    <row r="11" ht="9" customHeight="1" spans="1:22">
      <c r="A11" s="35"/>
      <c r="B11" s="69"/>
      <c r="C11" s="69"/>
      <c r="D11" s="69"/>
      <c r="E11" s="69"/>
      <c r="F11" s="69"/>
      <c r="G11" s="69"/>
      <c r="H11" s="72" t="str">
        <f t="shared" si="0"/>
        <v>France</v>
      </c>
      <c r="I11" s="69"/>
      <c r="J11" s="69"/>
      <c r="K11" s="69"/>
      <c r="L11" s="69"/>
      <c r="M11" s="35"/>
      <c r="N11" s="35"/>
      <c r="O11" s="78"/>
      <c r="P11" s="78"/>
      <c r="Q11" s="78"/>
      <c r="R11" s="96" t="s">
        <v>28</v>
      </c>
      <c r="S11" s="97">
        <v>4.17</v>
      </c>
      <c r="T11" s="97">
        <v>26</v>
      </c>
      <c r="U11" s="97">
        <v>26.3273298013178</v>
      </c>
      <c r="V11" s="98">
        <f t="shared" si="1"/>
        <v>30.17</v>
      </c>
    </row>
    <row r="12" ht="9" customHeight="1" spans="1:22">
      <c r="A12" s="35"/>
      <c r="B12" s="69"/>
      <c r="C12" s="69"/>
      <c r="D12" s="69"/>
      <c r="E12" s="69"/>
      <c r="F12" s="69"/>
      <c r="G12" s="69"/>
      <c r="H12" s="72" t="str">
        <f t="shared" si="0"/>
        <v>Luxembourg</v>
      </c>
      <c r="I12" s="69"/>
      <c r="J12" s="69"/>
      <c r="K12" s="69"/>
      <c r="L12" s="69"/>
      <c r="M12" s="35"/>
      <c r="N12" s="35"/>
      <c r="O12" s="78"/>
      <c r="P12" s="78"/>
      <c r="Q12" s="78"/>
      <c r="R12" s="96" t="s">
        <v>40</v>
      </c>
      <c r="S12" s="97">
        <v>2</v>
      </c>
      <c r="T12" s="97">
        <v>26</v>
      </c>
      <c r="U12" s="97">
        <v>73.1766917503807</v>
      </c>
      <c r="V12" s="98">
        <f t="shared" si="1"/>
        <v>28</v>
      </c>
    </row>
    <row r="13" ht="9" customHeight="1" spans="1:22">
      <c r="A13" s="35"/>
      <c r="B13" s="69"/>
      <c r="C13" s="69"/>
      <c r="D13" s="69"/>
      <c r="E13" s="69"/>
      <c r="F13" s="69"/>
      <c r="G13" s="69"/>
      <c r="H13" s="72" t="str">
        <f t="shared" si="0"/>
        <v>Slovak Republic</v>
      </c>
      <c r="I13" s="69"/>
      <c r="J13" s="69"/>
      <c r="K13" s="69"/>
      <c r="L13" s="69"/>
      <c r="M13" s="35"/>
      <c r="N13" s="35"/>
      <c r="O13" s="78"/>
      <c r="P13" s="78"/>
      <c r="Q13" s="78"/>
      <c r="R13" s="96" t="s">
        <v>47</v>
      </c>
      <c r="S13" s="97">
        <v>2</v>
      </c>
      <c r="T13" s="97">
        <v>26</v>
      </c>
      <c r="U13" s="97">
        <v>75</v>
      </c>
      <c r="V13" s="98">
        <f t="shared" si="1"/>
        <v>28</v>
      </c>
    </row>
    <row r="14" ht="9" customHeight="1" spans="1:22">
      <c r="A14" s="35"/>
      <c r="B14" s="69"/>
      <c r="C14" s="69"/>
      <c r="D14" s="69"/>
      <c r="E14" s="69"/>
      <c r="F14" s="69"/>
      <c r="G14" s="69"/>
      <c r="H14" s="72" t="str">
        <f t="shared" si="0"/>
        <v>Portugal</v>
      </c>
      <c r="I14" s="69"/>
      <c r="J14" s="69"/>
      <c r="K14" s="69"/>
      <c r="L14" s="69"/>
      <c r="M14" s="35"/>
      <c r="N14" s="35"/>
      <c r="O14" s="78"/>
      <c r="P14" s="78"/>
      <c r="Q14" s="78"/>
      <c r="R14" s="96" t="s">
        <v>46</v>
      </c>
      <c r="S14" s="97">
        <v>5</v>
      </c>
      <c r="T14" s="97">
        <v>17.2857142857143</v>
      </c>
      <c r="U14" s="97">
        <v>65</v>
      </c>
      <c r="V14" s="98">
        <f t="shared" si="1"/>
        <v>22.2857142857143</v>
      </c>
    </row>
    <row r="15" ht="9" customHeight="1" spans="1:22">
      <c r="A15" s="35"/>
      <c r="B15" s="69"/>
      <c r="C15" s="69"/>
      <c r="D15" s="69"/>
      <c r="E15" s="69"/>
      <c r="F15" s="69"/>
      <c r="G15" s="69"/>
      <c r="H15" s="72" t="str">
        <f t="shared" si="0"/>
        <v>Belgium</v>
      </c>
      <c r="I15" s="69"/>
      <c r="J15" s="69"/>
      <c r="K15" s="69"/>
      <c r="L15" s="69"/>
      <c r="M15" s="35"/>
      <c r="N15" s="35"/>
      <c r="O15" s="78"/>
      <c r="P15" s="78"/>
      <c r="Q15" s="78"/>
      <c r="R15" s="96" t="s">
        <v>19</v>
      </c>
      <c r="S15" s="97">
        <v>4</v>
      </c>
      <c r="T15" s="97">
        <v>17.3333333333333</v>
      </c>
      <c r="U15" s="97">
        <v>31.149056140773</v>
      </c>
      <c r="V15" s="98">
        <f t="shared" si="1"/>
        <v>21.3333333333333</v>
      </c>
    </row>
    <row r="16" ht="9" customHeight="1" spans="1:22">
      <c r="A16" s="35"/>
      <c r="B16" s="69"/>
      <c r="C16" s="69"/>
      <c r="D16" s="69"/>
      <c r="E16" s="69"/>
      <c r="F16" s="69"/>
      <c r="G16" s="69"/>
      <c r="H16" s="72" t="str">
        <f t="shared" si="0"/>
        <v>Iceland</v>
      </c>
      <c r="I16" s="69"/>
      <c r="J16" s="69"/>
      <c r="K16" s="69"/>
      <c r="L16" s="69"/>
      <c r="M16" s="35"/>
      <c r="N16" s="35"/>
      <c r="O16" s="78"/>
      <c r="P16" s="78"/>
      <c r="Q16" s="78"/>
      <c r="R16" s="96" t="s">
        <v>32</v>
      </c>
      <c r="S16" s="97">
        <v>0</v>
      </c>
      <c r="T16" s="97">
        <v>20</v>
      </c>
      <c r="U16" s="97">
        <v>68.886337543054</v>
      </c>
      <c r="V16" s="98">
        <f t="shared" si="1"/>
        <v>20</v>
      </c>
    </row>
    <row r="17" ht="9" customHeight="1" spans="1:22">
      <c r="A17" s="35"/>
      <c r="B17" s="69"/>
      <c r="C17" s="69"/>
      <c r="D17" s="69"/>
      <c r="E17" s="69"/>
      <c r="F17" s="69"/>
      <c r="G17" s="69"/>
      <c r="H17" s="72" t="str">
        <f t="shared" si="0"/>
        <v>Finland</v>
      </c>
      <c r="I17" s="69"/>
      <c r="J17" s="69"/>
      <c r="K17" s="69"/>
      <c r="L17" s="69"/>
      <c r="M17" s="35"/>
      <c r="N17" s="35"/>
      <c r="O17" s="78"/>
      <c r="P17" s="78"/>
      <c r="Q17" s="78"/>
      <c r="R17" s="96" t="s">
        <v>27</v>
      </c>
      <c r="S17" s="97">
        <v>3</v>
      </c>
      <c r="T17" s="97">
        <v>13.166</v>
      </c>
      <c r="U17" s="97">
        <v>65.9976065032642</v>
      </c>
      <c r="V17" s="98">
        <f t="shared" si="1"/>
        <v>16.166</v>
      </c>
    </row>
    <row r="18" ht="9" customHeight="1" spans="1:22">
      <c r="A18" s="35"/>
      <c r="B18" s="69"/>
      <c r="C18" s="69"/>
      <c r="D18" s="69"/>
      <c r="E18" s="69"/>
      <c r="F18" s="69"/>
      <c r="G18" s="69"/>
      <c r="H18" s="72" t="str">
        <f t="shared" si="0"/>
        <v>Spain</v>
      </c>
      <c r="I18" s="69"/>
      <c r="J18" s="69"/>
      <c r="K18" s="69"/>
      <c r="L18" s="69"/>
      <c r="M18" s="35"/>
      <c r="N18" s="35"/>
      <c r="O18" s="78"/>
      <c r="P18" s="78"/>
      <c r="Q18" s="78"/>
      <c r="R18" s="96" t="s">
        <v>49</v>
      </c>
      <c r="S18" s="97">
        <v>16</v>
      </c>
      <c r="T18" s="97">
        <v>0</v>
      </c>
      <c r="U18" s="97">
        <v>100</v>
      </c>
      <c r="V18" s="98">
        <f t="shared" si="1"/>
        <v>16</v>
      </c>
    </row>
    <row r="19" ht="9" customHeight="1" spans="1:22">
      <c r="A19" s="35"/>
      <c r="B19" s="69"/>
      <c r="C19" s="69"/>
      <c r="D19" s="69"/>
      <c r="E19" s="69"/>
      <c r="F19" s="69"/>
      <c r="G19" s="69"/>
      <c r="H19" s="72" t="str">
        <f t="shared" si="0"/>
        <v>Norway</v>
      </c>
      <c r="I19" s="69"/>
      <c r="J19" s="69"/>
      <c r="K19" s="69"/>
      <c r="L19" s="69"/>
      <c r="M19" s="35"/>
      <c r="N19" s="35"/>
      <c r="O19" s="78"/>
      <c r="P19" s="78"/>
      <c r="Q19" s="78"/>
      <c r="R19" s="96" t="s">
        <v>44</v>
      </c>
      <c r="S19" s="97">
        <v>0</v>
      </c>
      <c r="T19" s="97">
        <v>15</v>
      </c>
      <c r="U19" s="97">
        <v>98.1630305713044</v>
      </c>
      <c r="V19" s="98">
        <f t="shared" si="1"/>
        <v>15</v>
      </c>
    </row>
    <row r="20" ht="9" customHeight="1" spans="1:22">
      <c r="A20" s="35"/>
      <c r="B20" s="69"/>
      <c r="C20" s="69"/>
      <c r="D20" s="69"/>
      <c r="E20" s="69"/>
      <c r="F20" s="69"/>
      <c r="G20" s="69"/>
      <c r="H20" s="72" t="str">
        <f t="shared" si="0"/>
        <v>Italy</v>
      </c>
      <c r="I20" s="69"/>
      <c r="J20" s="69"/>
      <c r="K20" s="69"/>
      <c r="L20" s="69"/>
      <c r="M20" s="35"/>
      <c r="N20" s="35"/>
      <c r="O20" s="78"/>
      <c r="P20" s="78"/>
      <c r="Q20" s="78"/>
      <c r="R20" s="96" t="s">
        <v>35</v>
      </c>
      <c r="S20" s="97">
        <v>2</v>
      </c>
      <c r="T20" s="97">
        <v>13</v>
      </c>
      <c r="U20" s="97">
        <v>39.3333333333333</v>
      </c>
      <c r="V20" s="98">
        <f t="shared" si="1"/>
        <v>15</v>
      </c>
    </row>
    <row r="21" ht="9" customHeight="1" spans="1:22">
      <c r="A21" s="35"/>
      <c r="B21" s="69"/>
      <c r="C21" s="69"/>
      <c r="D21" s="69"/>
      <c r="E21" s="69"/>
      <c r="F21" s="69"/>
      <c r="G21" s="69"/>
      <c r="H21" s="72" t="str">
        <f t="shared" si="0"/>
        <v>Netherlands</v>
      </c>
      <c r="I21" s="69"/>
      <c r="J21" s="69"/>
      <c r="K21" s="69"/>
      <c r="L21" s="69"/>
      <c r="M21" s="35"/>
      <c r="N21" s="35"/>
      <c r="O21" s="78"/>
      <c r="P21" s="78"/>
      <c r="Q21" s="78"/>
      <c r="R21" s="96" t="s">
        <v>42</v>
      </c>
      <c r="S21" s="97">
        <v>6</v>
      </c>
      <c r="T21" s="97">
        <v>9</v>
      </c>
      <c r="U21" s="97">
        <v>75.6445420903783</v>
      </c>
      <c r="V21" s="98">
        <f t="shared" si="1"/>
        <v>15</v>
      </c>
    </row>
    <row r="22" ht="9" customHeight="1" spans="1:22">
      <c r="A22" s="35"/>
      <c r="B22" s="69"/>
      <c r="C22" s="69"/>
      <c r="D22" s="69"/>
      <c r="E22" s="69"/>
      <c r="F22" s="69"/>
      <c r="G22" s="69"/>
      <c r="H22" s="72" t="str">
        <f t="shared" si="0"/>
        <v>Sweden</v>
      </c>
      <c r="I22" s="69"/>
      <c r="J22" s="69"/>
      <c r="K22" s="69"/>
      <c r="L22" s="69"/>
      <c r="M22" s="35"/>
      <c r="N22" s="35"/>
      <c r="O22" s="78"/>
      <c r="P22" s="78"/>
      <c r="Q22" s="78"/>
      <c r="R22" s="96" t="s">
        <v>50</v>
      </c>
      <c r="S22" s="97">
        <v>1.42857142857143</v>
      </c>
      <c r="T22" s="97">
        <v>12.8571428571429</v>
      </c>
      <c r="U22" s="97">
        <v>76.3385341828771</v>
      </c>
      <c r="V22" s="98">
        <f t="shared" si="1"/>
        <v>14.2857142857143</v>
      </c>
    </row>
    <row r="23" ht="9" customHeight="1" spans="1:22">
      <c r="A23" s="35"/>
      <c r="B23" s="69"/>
      <c r="C23" s="69"/>
      <c r="D23" s="69"/>
      <c r="E23" s="69"/>
      <c r="F23" s="69"/>
      <c r="G23" s="69"/>
      <c r="H23" s="72" t="str">
        <f t="shared" si="0"/>
        <v>EU average</v>
      </c>
      <c r="I23" s="69"/>
      <c r="J23" s="69"/>
      <c r="K23" s="69"/>
      <c r="L23" s="69"/>
      <c r="M23" s="35"/>
      <c r="N23" s="35"/>
      <c r="O23" s="78"/>
      <c r="P23" s="78"/>
      <c r="Q23" s="78"/>
      <c r="R23" s="96" t="s">
        <v>62</v>
      </c>
      <c r="S23" s="97">
        <v>3.15925925925926</v>
      </c>
      <c r="T23" s="97">
        <v>10.0868204091711</v>
      </c>
      <c r="U23" s="97" t="s">
        <v>56</v>
      </c>
      <c r="V23" s="98">
        <f t="shared" si="1"/>
        <v>13.2460796684303</v>
      </c>
    </row>
    <row r="24" ht="9" customHeight="1" spans="1:22">
      <c r="A24" s="35"/>
      <c r="B24" s="69"/>
      <c r="C24" s="69"/>
      <c r="D24" s="69"/>
      <c r="E24" s="69"/>
      <c r="F24" s="69"/>
      <c r="G24" s="69"/>
      <c r="H24" s="72" t="str">
        <f t="shared" si="0"/>
        <v>Austria</v>
      </c>
      <c r="I24" s="69"/>
      <c r="J24" s="69"/>
      <c r="K24" s="69"/>
      <c r="L24" s="69"/>
      <c r="M24" s="35"/>
      <c r="N24" s="35"/>
      <c r="O24" s="78"/>
      <c r="P24" s="78"/>
      <c r="Q24" s="78"/>
      <c r="R24" s="96" t="s">
        <v>18</v>
      </c>
      <c r="S24" s="97">
        <v>4.33</v>
      </c>
      <c r="T24" s="97">
        <v>8.666666</v>
      </c>
      <c r="U24" s="97">
        <v>72.2337441724347</v>
      </c>
      <c r="V24" s="98">
        <f t="shared" si="1"/>
        <v>12.996666</v>
      </c>
    </row>
    <row r="25" ht="9" customHeight="1" spans="1:22">
      <c r="A25" s="35"/>
      <c r="B25" s="69"/>
      <c r="C25" s="69"/>
      <c r="D25" s="69"/>
      <c r="E25" s="69"/>
      <c r="F25" s="69"/>
      <c r="G25" s="69"/>
      <c r="H25" s="72" t="str">
        <f t="shared" si="0"/>
        <v>OECD average</v>
      </c>
      <c r="I25" s="69"/>
      <c r="J25" s="69"/>
      <c r="K25" s="69"/>
      <c r="L25" s="69"/>
      <c r="M25" s="35"/>
      <c r="N25" s="35"/>
      <c r="O25" s="78"/>
      <c r="P25" s="78"/>
      <c r="Q25" s="78"/>
      <c r="R25" s="96" t="s">
        <v>55</v>
      </c>
      <c r="S25" s="97">
        <v>2.43571428571429</v>
      </c>
      <c r="T25" s="97">
        <v>10.219619764411</v>
      </c>
      <c r="U25" s="97" t="s">
        <v>56</v>
      </c>
      <c r="V25" s="98">
        <f t="shared" si="1"/>
        <v>12.6553340501253</v>
      </c>
    </row>
    <row r="26" ht="9" customHeight="1" spans="1:22">
      <c r="A26" s="35"/>
      <c r="B26" s="69"/>
      <c r="C26" s="69"/>
      <c r="D26" s="69"/>
      <c r="E26" s="69"/>
      <c r="F26" s="69"/>
      <c r="G26" s="69"/>
      <c r="H26" s="72" t="str">
        <f t="shared" si="0"/>
        <v>Lithuania</v>
      </c>
      <c r="I26" s="69"/>
      <c r="J26" s="69"/>
      <c r="K26" s="69"/>
      <c r="L26" s="69"/>
      <c r="M26" s="35"/>
      <c r="N26" s="35"/>
      <c r="O26" s="78"/>
      <c r="P26" s="78"/>
      <c r="Q26" s="78"/>
      <c r="R26" s="96" t="s">
        <v>39</v>
      </c>
      <c r="S26" s="97">
        <v>4</v>
      </c>
      <c r="T26" s="97">
        <v>8.666</v>
      </c>
      <c r="U26" s="97">
        <v>77.58</v>
      </c>
      <c r="V26" s="98">
        <f t="shared" si="1"/>
        <v>12.666</v>
      </c>
    </row>
    <row r="27" ht="9" customHeight="1" spans="1:22">
      <c r="A27" s="35"/>
      <c r="B27" s="69"/>
      <c r="C27" s="69"/>
      <c r="D27" s="69"/>
      <c r="E27" s="69"/>
      <c r="F27" s="69"/>
      <c r="G27" s="69"/>
      <c r="H27" s="72" t="str">
        <f t="shared" si="0"/>
        <v>Greece</v>
      </c>
      <c r="I27" s="69"/>
      <c r="J27" s="69"/>
      <c r="K27" s="69"/>
      <c r="L27" s="69"/>
      <c r="M27" s="35"/>
      <c r="N27" s="35"/>
      <c r="O27" s="78"/>
      <c r="P27" s="78"/>
      <c r="Q27" s="78"/>
      <c r="R27" s="96" t="s">
        <v>30</v>
      </c>
      <c r="S27" s="97">
        <v>2.8</v>
      </c>
      <c r="T27" s="97">
        <v>8.666666</v>
      </c>
      <c r="U27" s="97">
        <v>56.92822341109</v>
      </c>
      <c r="V27" s="98">
        <f t="shared" si="1"/>
        <v>11.466666</v>
      </c>
    </row>
    <row r="28" ht="9" customHeight="1" spans="1:22">
      <c r="A28" s="35"/>
      <c r="B28" s="69"/>
      <c r="C28" s="69"/>
      <c r="D28" s="69"/>
      <c r="E28" s="69"/>
      <c r="F28" s="69"/>
      <c r="G28" s="69"/>
      <c r="H28" s="72" t="str">
        <f t="shared" si="0"/>
        <v>Poland</v>
      </c>
      <c r="I28" s="69"/>
      <c r="J28" s="69"/>
      <c r="K28" s="69"/>
      <c r="L28" s="69"/>
      <c r="M28" s="35"/>
      <c r="N28" s="35"/>
      <c r="O28" s="78"/>
      <c r="P28" s="78"/>
      <c r="Q28" s="78"/>
      <c r="R28" s="96" t="s">
        <v>45</v>
      </c>
      <c r="S28" s="97">
        <v>2</v>
      </c>
      <c r="T28" s="97">
        <v>9</v>
      </c>
      <c r="U28" s="97">
        <v>75.4545454545455</v>
      </c>
      <c r="V28" s="98">
        <f t="shared" si="1"/>
        <v>11</v>
      </c>
    </row>
    <row r="29" ht="9" customHeight="1" spans="1:22">
      <c r="A29" s="35"/>
      <c r="B29" s="69"/>
      <c r="C29" s="69"/>
      <c r="D29" s="69"/>
      <c r="E29" s="69"/>
      <c r="F29" s="69"/>
      <c r="G29" s="69"/>
      <c r="H29" s="72" t="str">
        <f t="shared" si="0"/>
        <v>Denmark</v>
      </c>
      <c r="I29" s="69"/>
      <c r="J29" s="69"/>
      <c r="K29" s="69"/>
      <c r="L29" s="69"/>
      <c r="M29" s="35"/>
      <c r="N29" s="35"/>
      <c r="O29" s="78"/>
      <c r="P29" s="78"/>
      <c r="Q29" s="78"/>
      <c r="R29" s="96" t="s">
        <v>25</v>
      </c>
      <c r="S29" s="97">
        <v>2</v>
      </c>
      <c r="T29" s="97">
        <v>9</v>
      </c>
      <c r="U29" s="97">
        <v>49.6970221170345</v>
      </c>
      <c r="V29" s="98">
        <f t="shared" si="1"/>
        <v>11</v>
      </c>
    </row>
    <row r="30" ht="9" customHeight="1" spans="1:22">
      <c r="A30" s="35"/>
      <c r="B30" s="69"/>
      <c r="C30" s="69"/>
      <c r="D30" s="69"/>
      <c r="E30" s="69"/>
      <c r="F30" s="69"/>
      <c r="G30" s="69"/>
      <c r="H30" s="72" t="str">
        <f t="shared" si="0"/>
        <v>Hungary</v>
      </c>
      <c r="I30" s="69"/>
      <c r="J30" s="69"/>
      <c r="K30" s="69"/>
      <c r="L30" s="69"/>
      <c r="M30" s="35"/>
      <c r="N30" s="35"/>
      <c r="O30" s="78"/>
      <c r="P30" s="78"/>
      <c r="Q30" s="78"/>
      <c r="R30" s="96" t="s">
        <v>31</v>
      </c>
      <c r="S30" s="97">
        <v>2</v>
      </c>
      <c r="T30" s="97">
        <v>8.8</v>
      </c>
      <c r="U30" s="97">
        <v>21.1111111111111</v>
      </c>
      <c r="V30" s="98">
        <f t="shared" si="1"/>
        <v>10.8</v>
      </c>
    </row>
    <row r="31" ht="9" customHeight="1" spans="1:22">
      <c r="A31" s="35"/>
      <c r="B31" s="69"/>
      <c r="C31" s="69"/>
      <c r="D31" s="69"/>
      <c r="E31" s="69"/>
      <c r="F31" s="69"/>
      <c r="G31" s="69"/>
      <c r="H31" s="72" t="str">
        <f t="shared" si="0"/>
        <v>Slovenia</v>
      </c>
      <c r="I31" s="69"/>
      <c r="J31" s="69"/>
      <c r="K31" s="69"/>
      <c r="L31" s="69"/>
      <c r="M31" s="35"/>
      <c r="N31" s="35"/>
      <c r="O31" s="78"/>
      <c r="P31" s="78"/>
      <c r="Q31" s="78"/>
      <c r="R31" s="96" t="s">
        <v>48</v>
      </c>
      <c r="S31" s="97">
        <v>2.14285714285714</v>
      </c>
      <c r="T31" s="97">
        <v>8.57142857142857</v>
      </c>
      <c r="U31" s="97">
        <v>100</v>
      </c>
      <c r="V31" s="98">
        <f t="shared" si="1"/>
        <v>10.7142857142857</v>
      </c>
    </row>
    <row r="32" ht="9" customHeight="1" spans="1:22">
      <c r="A32" s="35"/>
      <c r="B32" s="69"/>
      <c r="C32" s="69"/>
      <c r="D32" s="69"/>
      <c r="E32" s="69"/>
      <c r="F32" s="69"/>
      <c r="G32" s="69"/>
      <c r="H32" s="72" t="str">
        <f t="shared" si="0"/>
        <v>Croatia</v>
      </c>
      <c r="I32" s="69"/>
      <c r="J32" s="69"/>
      <c r="K32" s="69"/>
      <c r="L32" s="69"/>
      <c r="M32" s="35"/>
      <c r="N32" s="35"/>
      <c r="O32" s="78"/>
      <c r="P32" s="78"/>
      <c r="Q32" s="78"/>
      <c r="R32" s="96" t="s">
        <v>58</v>
      </c>
      <c r="S32" s="97">
        <v>2</v>
      </c>
      <c r="T32" s="97">
        <v>8.6666</v>
      </c>
      <c r="U32" s="97">
        <v>73.8002183615886</v>
      </c>
      <c r="V32" s="98">
        <f t="shared" si="1"/>
        <v>10.6666</v>
      </c>
    </row>
    <row r="33" ht="9" customHeight="1" spans="1:22">
      <c r="A33" s="35"/>
      <c r="B33" s="69"/>
      <c r="C33" s="69"/>
      <c r="D33" s="69"/>
      <c r="E33" s="69"/>
      <c r="F33" s="69"/>
      <c r="G33" s="69"/>
      <c r="H33" s="72" t="str">
        <f t="shared" si="0"/>
        <v>Romania</v>
      </c>
      <c r="I33" s="69"/>
      <c r="J33" s="69"/>
      <c r="K33" s="69"/>
      <c r="L33" s="69"/>
      <c r="M33" s="35"/>
      <c r="N33" s="35"/>
      <c r="O33" s="78"/>
      <c r="P33" s="78"/>
      <c r="Q33" s="96"/>
      <c r="R33" s="96" t="s">
        <v>61</v>
      </c>
      <c r="S33" s="97">
        <v>2</v>
      </c>
      <c r="T33" s="97">
        <v>8.666</v>
      </c>
      <c r="U33" s="97">
        <v>87.812675792237</v>
      </c>
      <c r="V33" s="98">
        <f t="shared" si="1"/>
        <v>10.666</v>
      </c>
    </row>
    <row r="34" ht="9" customHeight="1" spans="1:22">
      <c r="A34" s="35"/>
      <c r="B34" s="69"/>
      <c r="C34" s="69"/>
      <c r="D34" s="69"/>
      <c r="E34" s="69"/>
      <c r="F34" s="69"/>
      <c r="G34" s="69"/>
      <c r="H34" s="72" t="str">
        <f t="shared" si="0"/>
        <v>Latvia</v>
      </c>
      <c r="I34" s="69"/>
      <c r="J34" s="69"/>
      <c r="K34" s="69"/>
      <c r="L34" s="69"/>
      <c r="M34" s="35"/>
      <c r="N34" s="35"/>
      <c r="O34" s="78"/>
      <c r="P34" s="78"/>
      <c r="Q34" s="78"/>
      <c r="R34" s="96" t="s">
        <v>38</v>
      </c>
      <c r="S34" s="97">
        <v>2</v>
      </c>
      <c r="T34" s="97">
        <v>8.666</v>
      </c>
      <c r="U34" s="97">
        <v>63.7502343896494</v>
      </c>
      <c r="V34" s="98">
        <f t="shared" si="1"/>
        <v>10.666</v>
      </c>
    </row>
    <row r="35" ht="9" customHeight="1" spans="1:22">
      <c r="A35" s="35"/>
      <c r="B35" s="69"/>
      <c r="C35" s="69"/>
      <c r="D35" s="69"/>
      <c r="E35" s="69"/>
      <c r="F35" s="69"/>
      <c r="G35" s="69"/>
      <c r="H35" s="72" t="str">
        <f t="shared" si="0"/>
        <v>Malta</v>
      </c>
      <c r="I35" s="69"/>
      <c r="J35" s="69"/>
      <c r="K35" s="69"/>
      <c r="L35" s="69"/>
      <c r="M35" s="35"/>
      <c r="N35" s="35"/>
      <c r="O35" s="78"/>
      <c r="P35" s="78"/>
      <c r="Q35" s="78"/>
      <c r="R35" s="96" t="s">
        <v>60</v>
      </c>
      <c r="S35" s="97">
        <v>2</v>
      </c>
      <c r="T35" s="97">
        <v>8.666</v>
      </c>
      <c r="U35" s="97">
        <v>59.3755859741234</v>
      </c>
      <c r="V35" s="98">
        <f t="shared" si="1"/>
        <v>10.666</v>
      </c>
    </row>
    <row r="36" ht="9" customHeight="1" spans="1:22">
      <c r="A36" s="35"/>
      <c r="B36" s="69"/>
      <c r="C36" s="69"/>
      <c r="D36" s="69"/>
      <c r="E36" s="69"/>
      <c r="F36" s="69"/>
      <c r="G36" s="69"/>
      <c r="H36" s="72" t="str">
        <f t="shared" si="0"/>
        <v>Ireland</v>
      </c>
      <c r="I36" s="69"/>
      <c r="J36" s="69"/>
      <c r="K36" s="69"/>
      <c r="L36" s="69"/>
      <c r="M36" s="35"/>
      <c r="N36" s="35"/>
      <c r="O36" s="78"/>
      <c r="P36" s="78"/>
      <c r="Q36" s="78"/>
      <c r="R36" s="96" t="s">
        <v>33</v>
      </c>
      <c r="S36" s="97">
        <v>2</v>
      </c>
      <c r="T36" s="97">
        <v>7</v>
      </c>
      <c r="U36" s="97">
        <v>23.5892982835077</v>
      </c>
      <c r="V36" s="98">
        <f t="shared" si="1"/>
        <v>9</v>
      </c>
    </row>
    <row r="37" ht="9" customHeight="1" spans="1:22">
      <c r="A37" s="35"/>
      <c r="B37" s="69"/>
      <c r="C37" s="69"/>
      <c r="D37" s="69"/>
      <c r="E37" s="69"/>
      <c r="F37" s="69"/>
      <c r="G37" s="69"/>
      <c r="H37" s="72" t="str">
        <f t="shared" si="0"/>
        <v>Germany</v>
      </c>
      <c r="I37" s="69"/>
      <c r="J37" s="69"/>
      <c r="K37" s="69"/>
      <c r="L37" s="69"/>
      <c r="M37" s="35"/>
      <c r="N37" s="35"/>
      <c r="O37" s="78"/>
      <c r="P37" s="78"/>
      <c r="Q37" s="78"/>
      <c r="R37" s="96" t="s">
        <v>29</v>
      </c>
      <c r="S37" s="97">
        <v>0</v>
      </c>
      <c r="T37" s="97">
        <v>8.6666</v>
      </c>
      <c r="U37" s="97">
        <v>65.2505019269379</v>
      </c>
      <c r="V37" s="98">
        <f t="shared" si="1"/>
        <v>8.6666</v>
      </c>
    </row>
    <row r="38" ht="9" customHeight="1" spans="1:22">
      <c r="A38" s="35"/>
      <c r="B38" s="69"/>
      <c r="C38" s="69"/>
      <c r="D38" s="69"/>
      <c r="E38" s="69"/>
      <c r="F38" s="69"/>
      <c r="G38" s="69"/>
      <c r="H38" s="72" t="str">
        <f t="shared" si="0"/>
        <v>Canada</v>
      </c>
      <c r="I38" s="69"/>
      <c r="J38" s="69"/>
      <c r="K38" s="69"/>
      <c r="L38" s="69"/>
      <c r="M38" s="35"/>
      <c r="N38" s="35"/>
      <c r="O38" s="78"/>
      <c r="P38" s="78"/>
      <c r="Q38" s="78"/>
      <c r="R38" s="96" t="s">
        <v>20</v>
      </c>
      <c r="S38" s="97">
        <v>0</v>
      </c>
      <c r="T38" s="97">
        <v>5</v>
      </c>
      <c r="U38" s="97">
        <v>40.4992947604975</v>
      </c>
      <c r="V38" s="98">
        <f t="shared" si="1"/>
        <v>5</v>
      </c>
    </row>
    <row r="39" ht="9" customHeight="1" spans="1:22">
      <c r="A39" s="35"/>
      <c r="B39" s="69"/>
      <c r="C39" s="69"/>
      <c r="D39" s="69"/>
      <c r="E39" s="69"/>
      <c r="F39" s="69"/>
      <c r="G39" s="69"/>
      <c r="H39" s="72" t="str">
        <f t="shared" si="0"/>
        <v>Estonia</v>
      </c>
      <c r="I39" s="69"/>
      <c r="J39" s="69"/>
      <c r="K39" s="69"/>
      <c r="L39" s="69"/>
      <c r="M39" s="35"/>
      <c r="N39" s="35"/>
      <c r="O39" s="78"/>
      <c r="P39" s="78"/>
      <c r="Q39" s="78"/>
      <c r="R39" s="96" t="s">
        <v>26</v>
      </c>
      <c r="S39" s="97">
        <v>4.28571428571429</v>
      </c>
      <c r="T39" s="97">
        <v>0</v>
      </c>
      <c r="U39" s="97">
        <v>100</v>
      </c>
      <c r="V39" s="98">
        <f t="shared" si="1"/>
        <v>4.28571428571429</v>
      </c>
    </row>
    <row r="40" ht="9" customHeight="1" spans="1:22">
      <c r="A40" s="35"/>
      <c r="B40" s="69"/>
      <c r="C40" s="69"/>
      <c r="D40" s="69"/>
      <c r="E40" s="69"/>
      <c r="F40" s="69"/>
      <c r="G40" s="69"/>
      <c r="H40" s="72" t="str">
        <f t="shared" si="0"/>
        <v>Colombia</v>
      </c>
      <c r="I40" s="69"/>
      <c r="J40" s="69"/>
      <c r="K40" s="69"/>
      <c r="L40" s="69"/>
      <c r="M40" s="35"/>
      <c r="N40" s="35"/>
      <c r="O40" s="78"/>
      <c r="P40" s="78"/>
      <c r="Q40" s="78"/>
      <c r="R40" s="96" t="s">
        <v>22</v>
      </c>
      <c r="S40" s="97">
        <v>2.8</v>
      </c>
      <c r="T40" s="97">
        <v>0</v>
      </c>
      <c r="U40" s="97">
        <v>100</v>
      </c>
      <c r="V40" s="98">
        <f t="shared" si="1"/>
        <v>2.8</v>
      </c>
    </row>
    <row r="41" ht="9" customHeight="1" spans="1:22">
      <c r="A41" s="35"/>
      <c r="B41" s="69"/>
      <c r="C41" s="69"/>
      <c r="D41" s="69"/>
      <c r="E41" s="69"/>
      <c r="F41" s="69"/>
      <c r="G41" s="69"/>
      <c r="H41" s="72" t="str">
        <f t="shared" si="0"/>
        <v>Bulgaria</v>
      </c>
      <c r="I41" s="69"/>
      <c r="J41" s="69"/>
      <c r="K41" s="69"/>
      <c r="L41" s="69"/>
      <c r="M41" s="35"/>
      <c r="N41" s="35"/>
      <c r="O41" s="78"/>
      <c r="P41" s="78"/>
      <c r="Q41" s="78"/>
      <c r="R41" s="96" t="s">
        <v>57</v>
      </c>
      <c r="S41" s="97">
        <v>2.14285714285714</v>
      </c>
      <c r="T41" s="97">
        <v>0</v>
      </c>
      <c r="U41" s="97">
        <v>90</v>
      </c>
      <c r="V41" s="98">
        <f t="shared" si="1"/>
        <v>2.14285714285714</v>
      </c>
    </row>
    <row r="42" ht="9" customHeight="1" spans="1:22">
      <c r="A42" s="35"/>
      <c r="B42" s="69"/>
      <c r="C42" s="69"/>
      <c r="D42" s="69"/>
      <c r="E42" s="69"/>
      <c r="F42" s="69"/>
      <c r="G42" s="69"/>
      <c r="H42" s="72" t="str">
        <f t="shared" si="0"/>
        <v>Cyprus</v>
      </c>
      <c r="I42" s="69"/>
      <c r="J42" s="69"/>
      <c r="K42" s="69"/>
      <c r="L42" s="69"/>
      <c r="M42" s="35"/>
      <c r="N42" s="35"/>
      <c r="O42" s="78"/>
      <c r="P42" s="78"/>
      <c r="Q42" s="78"/>
      <c r="R42" s="96" t="s">
        <v>59</v>
      </c>
      <c r="S42" s="97">
        <v>2</v>
      </c>
      <c r="T42" s="97">
        <v>0</v>
      </c>
      <c r="U42" s="97">
        <v>72</v>
      </c>
      <c r="V42" s="98">
        <f t="shared" si="1"/>
        <v>2</v>
      </c>
    </row>
    <row r="43" ht="9" customHeight="1" spans="1:22">
      <c r="A43" s="35"/>
      <c r="B43" s="69"/>
      <c r="C43" s="69"/>
      <c r="D43" s="69"/>
      <c r="E43" s="69"/>
      <c r="F43" s="69"/>
      <c r="G43" s="69"/>
      <c r="H43" s="72" t="str">
        <f t="shared" si="0"/>
        <v>Australia</v>
      </c>
      <c r="I43" s="69"/>
      <c r="J43" s="69"/>
      <c r="K43" s="69"/>
      <c r="L43" s="69"/>
      <c r="M43" s="35"/>
      <c r="N43" s="35"/>
      <c r="O43" s="78"/>
      <c r="P43" s="78"/>
      <c r="Q43" s="78"/>
      <c r="R43" s="96" t="s">
        <v>17</v>
      </c>
      <c r="S43" s="97">
        <v>0</v>
      </c>
      <c r="T43" s="97">
        <v>2</v>
      </c>
      <c r="U43" s="97">
        <v>46.1056899840349</v>
      </c>
      <c r="V43" s="98">
        <f t="shared" si="1"/>
        <v>2</v>
      </c>
    </row>
    <row r="44" ht="9" customHeight="1" spans="1:22">
      <c r="A44" s="35"/>
      <c r="B44" s="69"/>
      <c r="C44" s="69"/>
      <c r="D44" s="69"/>
      <c r="E44" s="69"/>
      <c r="F44" s="69"/>
      <c r="G44" s="69"/>
      <c r="H44" s="72" t="str">
        <f t="shared" si="0"/>
        <v>United Kingdom</v>
      </c>
      <c r="I44" s="69"/>
      <c r="J44" s="69"/>
      <c r="K44" s="69"/>
      <c r="L44" s="69"/>
      <c r="M44" s="35"/>
      <c r="N44" s="35"/>
      <c r="O44" s="78"/>
      <c r="P44" s="78"/>
      <c r="Q44" s="78"/>
      <c r="R44" s="96" t="s">
        <v>53</v>
      </c>
      <c r="S44" s="97">
        <v>2</v>
      </c>
      <c r="T44" s="97">
        <v>0</v>
      </c>
      <c r="U44" s="97">
        <v>20.4303468035754</v>
      </c>
      <c r="V44" s="98">
        <f t="shared" si="1"/>
        <v>2</v>
      </c>
    </row>
    <row r="45" ht="9" customHeight="1" spans="1:22">
      <c r="A45" s="35"/>
      <c r="B45" s="69"/>
      <c r="C45" s="69"/>
      <c r="D45" s="69"/>
      <c r="E45" s="69"/>
      <c r="F45" s="69"/>
      <c r="G45" s="69"/>
      <c r="H45" s="72" t="str">
        <f t="shared" si="0"/>
        <v>Switzerland</v>
      </c>
      <c r="I45" s="69"/>
      <c r="J45" s="69"/>
      <c r="K45" s="69"/>
      <c r="L45" s="69"/>
      <c r="M45" s="35"/>
      <c r="N45" s="35"/>
      <c r="O45" s="78"/>
      <c r="P45" s="78"/>
      <c r="Q45" s="78"/>
      <c r="R45" s="96" t="s">
        <v>51</v>
      </c>
      <c r="S45" s="97">
        <v>2</v>
      </c>
      <c r="T45" s="97">
        <v>0</v>
      </c>
      <c r="U45" s="97">
        <v>55.8866758007562</v>
      </c>
      <c r="V45" s="98">
        <f t="shared" si="1"/>
        <v>2</v>
      </c>
    </row>
    <row r="46" ht="9" customHeight="1" spans="1:22">
      <c r="A46" s="35"/>
      <c r="B46" s="69"/>
      <c r="C46" s="69"/>
      <c r="D46" s="69"/>
      <c r="E46" s="69"/>
      <c r="F46" s="69"/>
      <c r="G46" s="69"/>
      <c r="H46" s="72" t="str">
        <f t="shared" si="0"/>
        <v>Czechia</v>
      </c>
      <c r="I46" s="69"/>
      <c r="J46" s="69"/>
      <c r="K46" s="69"/>
      <c r="L46" s="69"/>
      <c r="M46" s="35"/>
      <c r="N46" s="35"/>
      <c r="O46" s="78"/>
      <c r="P46" s="78"/>
      <c r="Q46" s="78"/>
      <c r="R46" s="96" t="s">
        <v>24</v>
      </c>
      <c r="S46" s="97">
        <v>2</v>
      </c>
      <c r="T46" s="97">
        <v>0</v>
      </c>
      <c r="U46" s="97">
        <v>62.5459756704829</v>
      </c>
      <c r="V46" s="98">
        <f t="shared" si="1"/>
        <v>2</v>
      </c>
    </row>
    <row r="47" ht="9" customHeight="1" spans="1:22">
      <c r="A47" s="35"/>
      <c r="B47" s="69"/>
      <c r="C47" s="69"/>
      <c r="D47" s="69"/>
      <c r="E47" s="69"/>
      <c r="F47" s="69"/>
      <c r="G47" s="69"/>
      <c r="H47" s="72" t="str">
        <f t="shared" si="0"/>
        <v>Costa Rica</v>
      </c>
      <c r="I47" s="69"/>
      <c r="J47" s="69"/>
      <c r="K47" s="69"/>
      <c r="L47" s="69"/>
      <c r="M47" s="79"/>
      <c r="N47" s="35"/>
      <c r="O47" s="78"/>
      <c r="P47" s="78"/>
      <c r="Q47" s="78"/>
      <c r="R47" s="96" t="s">
        <v>23</v>
      </c>
      <c r="S47" s="97">
        <v>1.6</v>
      </c>
      <c r="T47" s="97">
        <v>0</v>
      </c>
      <c r="U47" s="97">
        <v>100</v>
      </c>
      <c r="V47" s="98">
        <f t="shared" si="1"/>
        <v>1.6</v>
      </c>
    </row>
    <row r="48" ht="9" customHeight="1" spans="1:22">
      <c r="A48" s="35"/>
      <c r="B48" s="69"/>
      <c r="C48" s="69"/>
      <c r="D48" s="69"/>
      <c r="E48" s="69"/>
      <c r="F48" s="69"/>
      <c r="G48" s="69"/>
      <c r="H48" s="72" t="str">
        <f t="shared" si="0"/>
        <v>Türkiye</v>
      </c>
      <c r="I48" s="69"/>
      <c r="J48" s="69"/>
      <c r="K48" s="69"/>
      <c r="L48" s="69"/>
      <c r="M48" s="79"/>
      <c r="N48" s="35"/>
      <c r="O48" s="78"/>
      <c r="P48" s="78"/>
      <c r="Q48" s="78"/>
      <c r="R48" s="96" t="s">
        <v>52</v>
      </c>
      <c r="S48" s="97">
        <v>1</v>
      </c>
      <c r="T48" s="97">
        <v>0</v>
      </c>
      <c r="U48" s="97">
        <v>100</v>
      </c>
      <c r="V48" s="98">
        <f t="shared" si="1"/>
        <v>1</v>
      </c>
    </row>
    <row r="49" ht="9" customHeight="1" spans="1:22">
      <c r="A49" s="35"/>
      <c r="B49" s="69"/>
      <c r="C49" s="69"/>
      <c r="D49" s="69"/>
      <c r="E49" s="69"/>
      <c r="F49" s="69"/>
      <c r="G49" s="69"/>
      <c r="H49" s="72" t="str">
        <f t="shared" si="0"/>
        <v>Mexico</v>
      </c>
      <c r="I49" s="69"/>
      <c r="J49" s="69"/>
      <c r="K49" s="69"/>
      <c r="L49" s="69"/>
      <c r="M49" s="76"/>
      <c r="N49" s="76"/>
      <c r="O49" s="80"/>
      <c r="P49" s="78"/>
      <c r="Q49" s="78"/>
      <c r="R49" s="96" t="s">
        <v>41</v>
      </c>
      <c r="S49" s="97">
        <v>1</v>
      </c>
      <c r="T49" s="97">
        <v>0</v>
      </c>
      <c r="U49" s="97">
        <v>100</v>
      </c>
      <c r="V49" s="98">
        <f t="shared" si="1"/>
        <v>1</v>
      </c>
    </row>
    <row r="50" ht="9" customHeight="1" spans="1:22">
      <c r="A50" s="35"/>
      <c r="B50" s="69"/>
      <c r="C50" s="69"/>
      <c r="D50" s="69"/>
      <c r="E50" s="69"/>
      <c r="F50" s="69"/>
      <c r="G50" s="69"/>
      <c r="H50" s="72" t="str">
        <f t="shared" si="0"/>
        <v>Chile</v>
      </c>
      <c r="I50" s="69"/>
      <c r="J50" s="69"/>
      <c r="K50" s="69"/>
      <c r="L50" s="69"/>
      <c r="M50" s="76"/>
      <c r="N50" s="76"/>
      <c r="O50" s="80"/>
      <c r="P50" s="78"/>
      <c r="Q50" s="78"/>
      <c r="R50" s="96" t="s">
        <v>21</v>
      </c>
      <c r="S50" s="97">
        <v>1</v>
      </c>
      <c r="T50" s="97">
        <v>0</v>
      </c>
      <c r="U50" s="97">
        <v>100</v>
      </c>
      <c r="V50" s="98">
        <f t="shared" si="1"/>
        <v>1</v>
      </c>
    </row>
    <row r="51" ht="11" customHeight="1" spans="1:22">
      <c r="A51" s="35"/>
      <c r="B51" s="69"/>
      <c r="C51" s="69"/>
      <c r="D51" s="69"/>
      <c r="E51" s="69"/>
      <c r="F51" s="69"/>
      <c r="G51" s="69"/>
      <c r="H51" s="72" t="str">
        <f t="shared" si="0"/>
        <v>New Zealand</v>
      </c>
      <c r="I51" s="69"/>
      <c r="J51" s="69"/>
      <c r="K51" s="69"/>
      <c r="L51" s="69"/>
      <c r="M51" s="76"/>
      <c r="N51" s="76"/>
      <c r="O51" s="80"/>
      <c r="P51" s="78"/>
      <c r="Q51" s="96"/>
      <c r="R51" s="96" t="s">
        <v>43</v>
      </c>
      <c r="S51" s="97">
        <v>0</v>
      </c>
      <c r="T51" s="97">
        <v>0</v>
      </c>
      <c r="U51" s="97">
        <v>0</v>
      </c>
      <c r="V51" s="98">
        <f t="shared" si="1"/>
        <v>0</v>
      </c>
    </row>
    <row r="52" ht="9" customHeight="1" spans="1:22">
      <c r="A52" s="35"/>
      <c r="B52" s="69"/>
      <c r="C52" s="69"/>
      <c r="D52" s="69"/>
      <c r="E52" s="69"/>
      <c r="F52" s="69"/>
      <c r="G52" s="69"/>
      <c r="H52" s="72" t="str">
        <f t="shared" si="0"/>
        <v>Israel</v>
      </c>
      <c r="I52" s="69"/>
      <c r="J52" s="69"/>
      <c r="K52" s="69"/>
      <c r="L52" s="69"/>
      <c r="M52" s="76"/>
      <c r="N52" s="76"/>
      <c r="O52" s="80"/>
      <c r="P52" s="78"/>
      <c r="Q52" s="78"/>
      <c r="R52" s="96" t="s">
        <v>34</v>
      </c>
      <c r="S52" s="97">
        <v>0</v>
      </c>
      <c r="T52" s="97">
        <v>0</v>
      </c>
      <c r="U52" s="97">
        <v>0</v>
      </c>
      <c r="V52" s="98">
        <f t="shared" si="1"/>
        <v>0</v>
      </c>
    </row>
    <row r="53" spans="1:22">
      <c r="A53" s="35"/>
      <c r="B53" s="69"/>
      <c r="C53" s="69"/>
      <c r="D53" s="69"/>
      <c r="E53" s="69"/>
      <c r="F53" s="69"/>
      <c r="G53" s="69"/>
      <c r="H53" s="72" t="str">
        <f t="shared" si="0"/>
        <v>United States</v>
      </c>
      <c r="I53" s="69"/>
      <c r="J53" s="69"/>
      <c r="K53" s="69"/>
      <c r="L53" s="69"/>
      <c r="M53" s="76"/>
      <c r="N53" s="76"/>
      <c r="O53" s="80"/>
      <c r="P53" s="78"/>
      <c r="Q53" s="78"/>
      <c r="R53" s="96" t="s">
        <v>54</v>
      </c>
      <c r="S53" s="97">
        <v>0</v>
      </c>
      <c r="T53" s="97">
        <v>0</v>
      </c>
      <c r="U53" s="97">
        <v>0</v>
      </c>
      <c r="V53" s="98">
        <f t="shared" si="1"/>
        <v>0</v>
      </c>
    </row>
    <row r="54" customHeight="1" spans="1:21">
      <c r="A54" s="35"/>
      <c r="B54" s="73" t="s">
        <v>101</v>
      </c>
      <c r="C54" s="73"/>
      <c r="D54" s="73"/>
      <c r="E54" s="73"/>
      <c r="F54" s="73"/>
      <c r="G54" s="73"/>
      <c r="H54" s="73"/>
      <c r="I54" s="73"/>
      <c r="J54" s="73"/>
      <c r="K54" s="73"/>
      <c r="L54" s="73"/>
      <c r="M54" s="81"/>
      <c r="N54" s="81"/>
      <c r="O54" s="76"/>
      <c r="P54" s="78"/>
      <c r="Q54" s="78"/>
      <c r="R54" s="78"/>
      <c r="S54" s="78"/>
      <c r="T54" s="78"/>
      <c r="U54" s="99"/>
    </row>
    <row r="55" ht="21" customHeight="1" spans="1:21">
      <c r="A55" s="35"/>
      <c r="B55" s="73"/>
      <c r="C55" s="73"/>
      <c r="D55" s="73"/>
      <c r="E55" s="73"/>
      <c r="F55" s="73"/>
      <c r="G55" s="73"/>
      <c r="H55" s="73"/>
      <c r="I55" s="73"/>
      <c r="J55" s="73"/>
      <c r="K55" s="73"/>
      <c r="L55" s="73"/>
      <c r="M55" s="81"/>
      <c r="N55" s="81"/>
      <c r="O55" s="76"/>
      <c r="P55" s="78"/>
      <c r="Q55" s="78"/>
      <c r="R55" s="78"/>
      <c r="S55" s="78"/>
      <c r="T55" s="78"/>
      <c r="U55" s="99"/>
    </row>
    <row r="56" customHeight="1" spans="1:21">
      <c r="A56" s="35"/>
      <c r="B56" s="74" t="s">
        <v>102</v>
      </c>
      <c r="C56" s="74"/>
      <c r="D56" s="74"/>
      <c r="E56" s="74"/>
      <c r="F56" s="74"/>
      <c r="G56" s="74"/>
      <c r="H56" s="74"/>
      <c r="I56" s="74"/>
      <c r="J56" s="74"/>
      <c r="K56" s="74"/>
      <c r="L56" s="74"/>
      <c r="M56" s="82"/>
      <c r="N56" s="82"/>
      <c r="O56" s="78"/>
      <c r="P56" s="78"/>
      <c r="Q56" s="78"/>
      <c r="R56" s="78"/>
      <c r="S56" s="78"/>
      <c r="T56" s="78"/>
      <c r="U56" s="100"/>
    </row>
    <row r="57" customHeight="1" spans="1:21">
      <c r="A57" s="35"/>
      <c r="B57" s="74" t="s">
        <v>103</v>
      </c>
      <c r="C57" s="74"/>
      <c r="D57" s="74"/>
      <c r="E57" s="74"/>
      <c r="F57" s="74"/>
      <c r="G57" s="74"/>
      <c r="H57" s="74"/>
      <c r="I57" s="74"/>
      <c r="J57" s="74"/>
      <c r="K57" s="74"/>
      <c r="L57" s="74"/>
      <c r="M57" s="82"/>
      <c r="N57" s="82"/>
      <c r="O57" s="78"/>
      <c r="P57" s="78"/>
      <c r="Q57" s="78"/>
      <c r="R57" s="78"/>
      <c r="S57" s="78"/>
      <c r="T57" s="78"/>
      <c r="U57" s="100"/>
    </row>
    <row r="58" customHeight="1" spans="1:21">
      <c r="A58" s="35"/>
      <c r="B58" s="74" t="s">
        <v>104</v>
      </c>
      <c r="C58" s="74"/>
      <c r="D58" s="74"/>
      <c r="E58" s="74"/>
      <c r="F58" s="74"/>
      <c r="G58" s="74"/>
      <c r="H58" s="74"/>
      <c r="I58" s="74"/>
      <c r="J58" s="74"/>
      <c r="K58" s="74"/>
      <c r="L58" s="74"/>
      <c r="M58" s="82"/>
      <c r="N58" s="82"/>
      <c r="O58" s="78"/>
      <c r="P58" s="78"/>
      <c r="Q58" s="78"/>
      <c r="R58" s="78"/>
      <c r="S58" s="78"/>
      <c r="T58" s="78"/>
      <c r="U58" s="100"/>
    </row>
    <row r="59" customHeight="1" spans="1:20">
      <c r="A59" s="35"/>
      <c r="B59" s="75" t="s">
        <v>87</v>
      </c>
      <c r="C59" s="75"/>
      <c r="D59" s="75"/>
      <c r="E59" s="75"/>
      <c r="F59" s="75"/>
      <c r="G59" s="75"/>
      <c r="H59" s="75"/>
      <c r="I59" s="75"/>
      <c r="J59" s="75"/>
      <c r="K59" s="75"/>
      <c r="L59" s="75"/>
      <c r="M59" s="83"/>
      <c r="N59" s="83"/>
      <c r="O59" s="78"/>
      <c r="P59" s="78"/>
      <c r="Q59" s="78"/>
      <c r="R59" s="78"/>
      <c r="S59" s="78"/>
      <c r="T59" s="78"/>
    </row>
    <row r="60" spans="1:20">
      <c r="A60" s="35"/>
      <c r="B60" s="76"/>
      <c r="C60" s="76"/>
      <c r="D60" s="76"/>
      <c r="E60" s="76"/>
      <c r="F60" s="76"/>
      <c r="G60" s="76"/>
      <c r="H60" s="76"/>
      <c r="I60" s="76"/>
      <c r="J60" s="76"/>
      <c r="K60" s="76"/>
      <c r="L60" s="76"/>
      <c r="M60" s="35"/>
      <c r="N60" s="35"/>
      <c r="O60" s="78"/>
      <c r="P60" s="78"/>
      <c r="Q60" s="78"/>
      <c r="R60" s="78"/>
      <c r="S60" s="78"/>
      <c r="T60" s="78"/>
    </row>
    <row r="61" spans="2:20">
      <c r="B61" s="77"/>
      <c r="C61" s="77"/>
      <c r="D61" s="77"/>
      <c r="E61" s="77"/>
      <c r="F61" s="77"/>
      <c r="G61" s="77"/>
      <c r="H61" s="77"/>
      <c r="I61" s="77"/>
      <c r="J61" s="77"/>
      <c r="K61" s="77"/>
      <c r="L61" s="77"/>
      <c r="R61" s="62"/>
      <c r="S61" s="62"/>
      <c r="T61" s="62"/>
    </row>
    <row r="62" spans="2:20">
      <c r="B62" s="77"/>
      <c r="C62" s="77"/>
      <c r="D62" s="77"/>
      <c r="E62" s="77"/>
      <c r="F62" s="77"/>
      <c r="G62" s="77"/>
      <c r="H62" s="77"/>
      <c r="I62" s="77"/>
      <c r="J62" s="77"/>
      <c r="K62" s="77"/>
      <c r="L62" s="77"/>
      <c r="R62" s="62"/>
      <c r="S62" s="62"/>
      <c r="T62" s="62"/>
    </row>
    <row r="63" spans="2:12">
      <c r="B63" s="77"/>
      <c r="C63" s="77"/>
      <c r="D63" s="77"/>
      <c r="E63" s="77"/>
      <c r="F63" s="77"/>
      <c r="G63" s="77"/>
      <c r="H63" s="77"/>
      <c r="I63" s="77"/>
      <c r="J63" s="77"/>
      <c r="K63" s="77"/>
      <c r="L63" s="77"/>
    </row>
    <row r="64" spans="2:12">
      <c r="B64" s="74"/>
      <c r="C64" s="74"/>
      <c r="D64" s="74"/>
      <c r="E64" s="74"/>
      <c r="F64" s="74"/>
      <c r="G64" s="74"/>
      <c r="H64" s="74"/>
      <c r="I64" s="74"/>
      <c r="J64" s="74"/>
      <c r="K64" s="74"/>
      <c r="L64" s="74"/>
    </row>
    <row r="65" spans="2:12">
      <c r="B65" s="74"/>
      <c r="C65" s="74"/>
      <c r="D65" s="74"/>
      <c r="E65" s="74"/>
      <c r="F65" s="74"/>
      <c r="G65" s="74"/>
      <c r="H65" s="74"/>
      <c r="I65" s="74"/>
      <c r="J65" s="74"/>
      <c r="K65" s="74"/>
      <c r="L65" s="74"/>
    </row>
    <row r="66" spans="2:12">
      <c r="B66" s="74"/>
      <c r="C66" s="74"/>
      <c r="D66" s="74"/>
      <c r="E66" s="74"/>
      <c r="F66" s="74"/>
      <c r="G66" s="74"/>
      <c r="H66" s="74"/>
      <c r="I66" s="74"/>
      <c r="J66" s="74"/>
      <c r="K66" s="74"/>
      <c r="L66" s="74"/>
    </row>
  </sheetData>
  <sortState ref="R9:V53">
    <sortCondition ref="V9:V53" descending="1"/>
  </sortState>
  <mergeCells count="13">
    <mergeCell ref="S5:T5"/>
    <mergeCell ref="C6:G6"/>
    <mergeCell ref="I6:M6"/>
    <mergeCell ref="B56:L56"/>
    <mergeCell ref="B57:L57"/>
    <mergeCell ref="B58:L58"/>
    <mergeCell ref="B59:L59"/>
    <mergeCell ref="S6:S8"/>
    <mergeCell ref="T6:T8"/>
    <mergeCell ref="U6:U8"/>
    <mergeCell ref="B1:N2"/>
    <mergeCell ref="B3:N4"/>
    <mergeCell ref="B54:L55"/>
  </mergeCells>
  <pageMargins left="0.708661417322835" right="0.708661417322835" top="0.748031496062992" bottom="0.748031496062992" header="0.31496062992126" footer="0.31496062992126"/>
  <pageSetup paperSize="9" scale="97" orientation="portrait"/>
  <headerFooter>
    <oddHeader>&amp;LOECD Family Database (http://www.oecd.org/els/family/database.htm)</oddHeader>
    <oddFooter>&amp;C
&amp;1#&amp;"Arial Narrow"&amp;10&amp;K0000FF Unclassified - Non classifié</oddFooter>
  </headerFooter>
  <customProperties>
    <customPr name="PrintArea" r:id="rId2"/>
  </customPropertie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1"/>
  <sheetViews>
    <sheetView showGridLines="0" zoomScale="94" zoomScaleNormal="94" showWhiteSpace="0" workbookViewId="0">
      <selection activeCell="A1" sqref="A1:J2"/>
    </sheetView>
  </sheetViews>
  <sheetFormatPr defaultColWidth="9" defaultRowHeight="12.75"/>
  <cols>
    <col min="10" max="10" width="6.90265486725664" customWidth="1"/>
    <col min="13" max="13" width="8.72566371681416" style="30"/>
    <col min="14" max="14" width="9.8141592920354" customWidth="1"/>
    <col min="15" max="17" width="12.1769911504425" customWidth="1"/>
    <col min="18" max="21" width="8.72566371681416" style="31"/>
    <col min="22" max="22" width="8.72566371681416" style="32"/>
  </cols>
  <sheetData>
    <row r="1" spans="1:24">
      <c r="A1" s="33" t="s">
        <v>105</v>
      </c>
      <c r="B1" s="33"/>
      <c r="C1" s="33"/>
      <c r="D1" s="33"/>
      <c r="E1" s="33"/>
      <c r="F1" s="33"/>
      <c r="G1" s="33"/>
      <c r="H1" s="33"/>
      <c r="I1" s="33"/>
      <c r="J1" s="33"/>
      <c r="K1" s="39"/>
      <c r="L1" s="39"/>
      <c r="M1" s="39"/>
      <c r="N1" s="36"/>
      <c r="O1" s="36"/>
      <c r="P1" s="36"/>
      <c r="Q1" s="49"/>
      <c r="R1" s="50"/>
      <c r="S1" s="50"/>
      <c r="T1" s="50"/>
      <c r="U1" s="50"/>
      <c r="V1" s="51"/>
      <c r="W1" s="49"/>
      <c r="X1" s="49"/>
    </row>
    <row r="2" spans="1:24">
      <c r="A2" s="33"/>
      <c r="B2" s="33"/>
      <c r="C2" s="33"/>
      <c r="D2" s="33"/>
      <c r="E2" s="33"/>
      <c r="F2" s="33"/>
      <c r="G2" s="33"/>
      <c r="H2" s="33"/>
      <c r="I2" s="33"/>
      <c r="J2" s="33"/>
      <c r="K2" s="39"/>
      <c r="L2" s="39"/>
      <c r="M2" s="39"/>
      <c r="N2" s="36"/>
      <c r="O2" s="36"/>
      <c r="P2" s="36"/>
      <c r="Q2" s="49"/>
      <c r="R2" s="50"/>
      <c r="S2" s="50"/>
      <c r="T2" s="50"/>
      <c r="U2" s="50"/>
      <c r="V2" s="51"/>
      <c r="W2" s="49"/>
      <c r="X2" s="49"/>
    </row>
    <row r="3" ht="13" customHeight="1" spans="1:24">
      <c r="A3" s="34" t="s">
        <v>106</v>
      </c>
      <c r="B3" s="34"/>
      <c r="C3" s="34"/>
      <c r="D3" s="34"/>
      <c r="E3" s="34"/>
      <c r="F3" s="34"/>
      <c r="G3" s="34"/>
      <c r="H3" s="34"/>
      <c r="I3" s="34"/>
      <c r="J3" s="34"/>
      <c r="K3" s="40"/>
      <c r="L3" s="40"/>
      <c r="M3" s="40"/>
      <c r="N3" s="36"/>
      <c r="O3" s="36"/>
      <c r="P3" s="36"/>
      <c r="Q3" s="42"/>
      <c r="R3" s="52"/>
      <c r="S3" s="52"/>
      <c r="T3" s="52"/>
      <c r="U3" s="52"/>
      <c r="V3" s="53"/>
      <c r="W3" s="42"/>
      <c r="X3" s="42"/>
    </row>
    <row r="4" spans="1:24">
      <c r="A4" s="34"/>
      <c r="B4" s="34"/>
      <c r="C4" s="34"/>
      <c r="D4" s="34"/>
      <c r="E4" s="34"/>
      <c r="F4" s="34"/>
      <c r="G4" s="34"/>
      <c r="H4" s="34"/>
      <c r="I4" s="34"/>
      <c r="J4" s="34"/>
      <c r="K4" s="40"/>
      <c r="L4" s="40"/>
      <c r="M4" s="40"/>
      <c r="N4" s="36"/>
      <c r="O4" s="41" t="s">
        <v>84</v>
      </c>
      <c r="P4" s="41"/>
      <c r="Q4" s="42"/>
      <c r="R4" s="52"/>
      <c r="S4" s="52"/>
      <c r="T4" s="52"/>
      <c r="U4" s="52"/>
      <c r="V4" s="53"/>
      <c r="W4" s="42"/>
      <c r="X4" s="42"/>
    </row>
    <row r="5" spans="1:17">
      <c r="A5" s="35"/>
      <c r="B5" s="35"/>
      <c r="C5" s="35"/>
      <c r="D5" s="35"/>
      <c r="E5" s="35"/>
      <c r="F5" s="35"/>
      <c r="G5" s="35"/>
      <c r="H5" s="35"/>
      <c r="I5" s="35"/>
      <c r="J5" s="35"/>
      <c r="N5" s="42"/>
      <c r="O5" s="43" t="s">
        <v>107</v>
      </c>
      <c r="P5" s="43" t="s">
        <v>108</v>
      </c>
      <c r="Q5" s="43" t="s">
        <v>109</v>
      </c>
    </row>
    <row r="6" ht="13" customHeight="1" spans="1:21">
      <c r="A6" s="35"/>
      <c r="B6" s="35"/>
      <c r="C6" s="35"/>
      <c r="D6" s="35"/>
      <c r="E6" s="35"/>
      <c r="F6" s="35"/>
      <c r="G6" s="35"/>
      <c r="H6" s="35"/>
      <c r="I6" s="35"/>
      <c r="J6" s="35"/>
      <c r="N6" s="44"/>
      <c r="O6" s="43"/>
      <c r="P6" s="43"/>
      <c r="Q6" s="43"/>
      <c r="R6" s="54"/>
      <c r="S6" s="54"/>
      <c r="T6" s="54"/>
      <c r="U6" s="54"/>
    </row>
    <row r="7" ht="13" customHeight="1" spans="1:22">
      <c r="A7" s="35"/>
      <c r="B7" s="35"/>
      <c r="C7" s="35"/>
      <c r="D7" s="35"/>
      <c r="E7" s="35"/>
      <c r="F7" s="35"/>
      <c r="G7" s="35"/>
      <c r="H7" s="35"/>
      <c r="I7" s="35"/>
      <c r="J7" s="35"/>
      <c r="N7" s="45"/>
      <c r="O7" s="46"/>
      <c r="P7" s="46"/>
      <c r="Q7" s="46"/>
      <c r="R7" s="54"/>
      <c r="S7" s="54"/>
      <c r="T7" s="54"/>
      <c r="U7" s="54"/>
      <c r="V7" s="55"/>
    </row>
    <row r="8" spans="1:22">
      <c r="A8" s="35"/>
      <c r="B8" s="35"/>
      <c r="C8" s="35"/>
      <c r="D8" s="35"/>
      <c r="E8" s="35"/>
      <c r="F8" s="35"/>
      <c r="G8" s="35"/>
      <c r="H8" s="35"/>
      <c r="I8" s="35"/>
      <c r="J8" s="35"/>
      <c r="M8" s="30">
        <v>1</v>
      </c>
      <c r="N8" s="47" t="s">
        <v>47</v>
      </c>
      <c r="O8" s="48">
        <v>34</v>
      </c>
      <c r="P8" s="48">
        <v>28</v>
      </c>
      <c r="Q8" s="48">
        <v>130</v>
      </c>
      <c r="R8" s="56">
        <v>192</v>
      </c>
      <c r="S8" s="54"/>
      <c r="T8" s="54"/>
      <c r="U8" s="54"/>
      <c r="V8" s="55"/>
    </row>
    <row r="9" spans="1:22">
      <c r="A9" s="35"/>
      <c r="B9" s="35"/>
      <c r="C9" s="35"/>
      <c r="D9" s="35"/>
      <c r="E9" s="35"/>
      <c r="F9" s="35"/>
      <c r="G9" s="35"/>
      <c r="H9" s="35"/>
      <c r="I9" s="35"/>
      <c r="J9" s="35"/>
      <c r="M9" s="30">
        <v>1</v>
      </c>
      <c r="N9" s="47" t="s">
        <v>27</v>
      </c>
      <c r="O9" s="48">
        <v>22.8366</v>
      </c>
      <c r="P9" s="48">
        <v>16.1666</v>
      </c>
      <c r="Q9" s="48">
        <v>138.16666</v>
      </c>
      <c r="R9" s="56">
        <v>177.16986</v>
      </c>
      <c r="S9" s="54"/>
      <c r="T9" s="54"/>
      <c r="U9" s="54"/>
      <c r="V9" s="55"/>
    </row>
    <row r="10" spans="1:22">
      <c r="A10" s="35"/>
      <c r="B10" s="35"/>
      <c r="C10" s="35"/>
      <c r="D10" s="35"/>
      <c r="E10" s="35"/>
      <c r="F10" s="35"/>
      <c r="G10" s="35"/>
      <c r="H10" s="35"/>
      <c r="I10" s="35"/>
      <c r="J10" s="35"/>
      <c r="M10" s="30">
        <v>1</v>
      </c>
      <c r="N10" s="47" t="s">
        <v>31</v>
      </c>
      <c r="O10" s="48">
        <v>24</v>
      </c>
      <c r="P10" s="48">
        <v>10.8</v>
      </c>
      <c r="Q10" s="48">
        <v>136</v>
      </c>
      <c r="R10" s="56">
        <v>170.8</v>
      </c>
      <c r="S10" s="54"/>
      <c r="T10" s="54"/>
      <c r="U10" s="54"/>
      <c r="V10" s="55"/>
    </row>
    <row r="11" spans="1:22">
      <c r="A11" s="35"/>
      <c r="B11" s="35"/>
      <c r="C11" s="35"/>
      <c r="D11" s="35"/>
      <c r="E11" s="35"/>
      <c r="F11" s="35"/>
      <c r="G11" s="35"/>
      <c r="H11" s="35"/>
      <c r="I11" s="35"/>
      <c r="J11" s="35"/>
      <c r="M11" s="30">
        <v>1</v>
      </c>
      <c r="N11" s="47" t="s">
        <v>37</v>
      </c>
      <c r="O11" s="48">
        <v>64.8571428571429</v>
      </c>
      <c r="P11" s="48">
        <v>54</v>
      </c>
      <c r="Q11" s="48">
        <v>0</v>
      </c>
      <c r="R11" s="56">
        <v>118.857142857143</v>
      </c>
      <c r="S11" s="54"/>
      <c r="T11" s="54"/>
      <c r="U11" s="54"/>
      <c r="V11" s="55"/>
    </row>
    <row r="12" spans="1:22">
      <c r="A12" s="35"/>
      <c r="B12" s="35"/>
      <c r="C12" s="35"/>
      <c r="D12" s="35"/>
      <c r="E12" s="35"/>
      <c r="F12" s="35"/>
      <c r="G12" s="35"/>
      <c r="H12" s="35"/>
      <c r="I12" s="35"/>
      <c r="J12" s="35"/>
      <c r="M12" s="30">
        <v>1</v>
      </c>
      <c r="N12" s="47" t="s">
        <v>38</v>
      </c>
      <c r="O12" s="48">
        <v>24.666</v>
      </c>
      <c r="P12" s="48">
        <v>10.666</v>
      </c>
      <c r="Q12" s="48">
        <v>69.333</v>
      </c>
      <c r="R12" s="56">
        <v>104.665</v>
      </c>
      <c r="S12" s="54"/>
      <c r="T12" s="54"/>
      <c r="U12" s="54"/>
      <c r="V12" s="55"/>
    </row>
    <row r="13" spans="1:22">
      <c r="A13" s="35"/>
      <c r="B13" s="35"/>
      <c r="C13" s="35"/>
      <c r="D13" s="35"/>
      <c r="E13" s="35"/>
      <c r="F13" s="35"/>
      <c r="G13" s="35"/>
      <c r="H13" s="35"/>
      <c r="I13" s="35"/>
      <c r="J13" s="35"/>
      <c r="M13" s="30">
        <v>1</v>
      </c>
      <c r="N13" s="47" t="s">
        <v>44</v>
      </c>
      <c r="O13" s="48">
        <v>18</v>
      </c>
      <c r="P13" s="48">
        <v>15</v>
      </c>
      <c r="Q13" s="48">
        <v>68</v>
      </c>
      <c r="R13" s="56">
        <v>101</v>
      </c>
      <c r="S13" s="54"/>
      <c r="T13" s="54"/>
      <c r="U13" s="54"/>
      <c r="V13" s="55"/>
    </row>
    <row r="14" spans="1:22">
      <c r="A14" s="35"/>
      <c r="B14" s="35"/>
      <c r="C14" s="35"/>
      <c r="D14" s="35"/>
      <c r="E14" s="35"/>
      <c r="F14" s="35"/>
      <c r="G14" s="35"/>
      <c r="H14" s="35"/>
      <c r="I14" s="35"/>
      <c r="J14" s="35"/>
      <c r="M14" s="30">
        <v>1</v>
      </c>
      <c r="N14" s="47" t="s">
        <v>39</v>
      </c>
      <c r="O14" s="48">
        <v>26.666</v>
      </c>
      <c r="P14" s="48">
        <v>12.666</v>
      </c>
      <c r="Q14" s="48">
        <v>52.6666</v>
      </c>
      <c r="R14" s="56">
        <v>91.9986</v>
      </c>
      <c r="S14" s="54"/>
      <c r="T14" s="54"/>
      <c r="U14" s="54"/>
      <c r="V14" s="55"/>
    </row>
    <row r="15" spans="1:22">
      <c r="A15" s="35"/>
      <c r="B15" s="35"/>
      <c r="C15" s="35"/>
      <c r="D15" s="35"/>
      <c r="E15" s="35"/>
      <c r="F15" s="35"/>
      <c r="G15" s="35"/>
      <c r="H15" s="35"/>
      <c r="I15" s="35"/>
      <c r="J15" s="35"/>
      <c r="M15" s="30">
        <v>1</v>
      </c>
      <c r="N15" s="47" t="s">
        <v>30</v>
      </c>
      <c r="O15" s="48">
        <v>34.3336</v>
      </c>
      <c r="P15" s="48">
        <v>11.4666</v>
      </c>
      <c r="Q15" s="48">
        <v>45.9333</v>
      </c>
      <c r="R15" s="56">
        <v>91.7335</v>
      </c>
      <c r="S15" s="54"/>
      <c r="T15" s="54"/>
      <c r="U15" s="54"/>
      <c r="V15" s="55"/>
    </row>
    <row r="16" spans="1:22">
      <c r="A16" s="35"/>
      <c r="B16" s="35"/>
      <c r="C16" s="35"/>
      <c r="D16" s="35"/>
      <c r="E16" s="35"/>
      <c r="F16" s="35"/>
      <c r="G16" s="35"/>
      <c r="H16" s="35"/>
      <c r="I16" s="35"/>
      <c r="J16" s="35"/>
      <c r="M16" s="30">
        <v>1</v>
      </c>
      <c r="N16" s="47" t="s">
        <v>26</v>
      </c>
      <c r="O16" s="48">
        <v>14.2857142857143</v>
      </c>
      <c r="P16" s="48">
        <v>4.28571428571429</v>
      </c>
      <c r="Q16" s="48">
        <v>67.8571428571429</v>
      </c>
      <c r="R16" s="56">
        <v>86.4285714285714</v>
      </c>
      <c r="S16" s="54"/>
      <c r="T16" s="54"/>
      <c r="U16" s="54"/>
      <c r="V16" s="55"/>
    </row>
    <row r="17" spans="1:22">
      <c r="A17" s="35"/>
      <c r="B17" s="35"/>
      <c r="C17" s="35"/>
      <c r="D17" s="35"/>
      <c r="E17" s="35"/>
      <c r="F17" s="35"/>
      <c r="G17" s="35"/>
      <c r="H17" s="35"/>
      <c r="I17" s="35"/>
      <c r="J17" s="35"/>
      <c r="M17" s="30">
        <v>1</v>
      </c>
      <c r="N17" s="47" t="s">
        <v>40</v>
      </c>
      <c r="O17" s="48">
        <v>46</v>
      </c>
      <c r="P17" s="48">
        <v>28</v>
      </c>
      <c r="Q17" s="48">
        <v>0</v>
      </c>
      <c r="R17" s="56">
        <v>74</v>
      </c>
      <c r="S17" s="54"/>
      <c r="T17" s="54"/>
      <c r="U17" s="54"/>
      <c r="V17" s="55"/>
    </row>
    <row r="18" spans="1:22">
      <c r="A18" s="35"/>
      <c r="B18" s="35"/>
      <c r="C18" s="35"/>
      <c r="D18" s="35"/>
      <c r="E18" s="35"/>
      <c r="F18" s="35"/>
      <c r="G18" s="35"/>
      <c r="H18" s="35"/>
      <c r="I18" s="35"/>
      <c r="J18" s="35"/>
      <c r="M18" s="30">
        <v>1</v>
      </c>
      <c r="N18" s="47" t="s">
        <v>18</v>
      </c>
      <c r="O18" s="48">
        <v>24.666666</v>
      </c>
      <c r="P18" s="48">
        <v>12.996666</v>
      </c>
      <c r="Q18" s="48">
        <v>35.33</v>
      </c>
      <c r="R18" s="56">
        <v>72.993332</v>
      </c>
      <c r="S18" s="54"/>
      <c r="T18" s="54"/>
      <c r="U18" s="54"/>
      <c r="V18" s="55"/>
    </row>
    <row r="19" spans="1:22">
      <c r="A19" s="35"/>
      <c r="B19" s="35"/>
      <c r="C19" s="35"/>
      <c r="D19" s="35"/>
      <c r="E19" s="35"/>
      <c r="F19" s="35"/>
      <c r="G19" s="35"/>
      <c r="H19" s="35"/>
      <c r="I19" s="35"/>
      <c r="J19" s="35"/>
      <c r="M19" s="30">
        <v>1</v>
      </c>
      <c r="N19" s="47" t="s">
        <v>110</v>
      </c>
      <c r="O19" s="48">
        <v>42</v>
      </c>
      <c r="P19" s="48">
        <v>30.17</v>
      </c>
      <c r="Q19" s="48">
        <v>0</v>
      </c>
      <c r="R19" s="56">
        <v>72.17</v>
      </c>
      <c r="S19" s="54"/>
      <c r="T19" s="54"/>
      <c r="U19" s="54"/>
      <c r="V19" s="55"/>
    </row>
    <row r="20" spans="1:22">
      <c r="A20" s="36"/>
      <c r="B20" s="36"/>
      <c r="C20" s="36"/>
      <c r="D20" s="36"/>
      <c r="E20" s="36"/>
      <c r="F20" s="36"/>
      <c r="G20" s="36"/>
      <c r="H20" s="36"/>
      <c r="I20" s="36"/>
      <c r="J20" s="36"/>
      <c r="M20" s="30">
        <v>1</v>
      </c>
      <c r="N20" s="47" t="s">
        <v>24</v>
      </c>
      <c r="O20" s="48">
        <v>28</v>
      </c>
      <c r="P20" s="48">
        <v>2</v>
      </c>
      <c r="Q20" s="48">
        <v>40.4579882099865</v>
      </c>
      <c r="R20" s="56">
        <v>70.4579882099865</v>
      </c>
      <c r="S20" s="57"/>
      <c r="T20" s="57"/>
      <c r="U20" s="57"/>
      <c r="V20" s="55"/>
    </row>
    <row r="21" spans="1:22">
      <c r="A21" s="36"/>
      <c r="B21" s="36"/>
      <c r="C21" s="36"/>
      <c r="D21" s="36"/>
      <c r="E21" s="36"/>
      <c r="F21" s="36"/>
      <c r="G21" s="36"/>
      <c r="H21" s="36"/>
      <c r="I21" s="36"/>
      <c r="J21" s="36"/>
      <c r="M21" s="30">
        <v>1</v>
      </c>
      <c r="N21" s="47" t="s">
        <v>50</v>
      </c>
      <c r="O21" s="48">
        <v>12.8571428571429</v>
      </c>
      <c r="P21" s="48">
        <v>14.2857142857143</v>
      </c>
      <c r="Q21" s="48">
        <v>42.8571428571429</v>
      </c>
      <c r="R21" s="56">
        <v>70</v>
      </c>
      <c r="S21" s="54"/>
      <c r="T21" s="54"/>
      <c r="U21" s="54"/>
      <c r="V21" s="55"/>
    </row>
    <row r="22" ht="12.5" customHeight="1" spans="1:22">
      <c r="A22" s="37" t="s">
        <v>111</v>
      </c>
      <c r="B22" s="37"/>
      <c r="C22" s="37"/>
      <c r="D22" s="37"/>
      <c r="E22" s="37"/>
      <c r="F22" s="37"/>
      <c r="G22" s="37"/>
      <c r="H22" s="37"/>
      <c r="I22" s="37"/>
      <c r="J22" s="37"/>
      <c r="M22" s="30">
        <v>1</v>
      </c>
      <c r="N22" s="47" t="s">
        <v>29</v>
      </c>
      <c r="O22" s="48">
        <v>22.6666</v>
      </c>
      <c r="P22" s="48">
        <v>8.7</v>
      </c>
      <c r="Q22" s="48">
        <v>35.3334</v>
      </c>
      <c r="R22" s="56">
        <v>66.7</v>
      </c>
      <c r="V22" s="55"/>
    </row>
    <row r="23" spans="1:22">
      <c r="A23" s="37"/>
      <c r="B23" s="37"/>
      <c r="C23" s="37"/>
      <c r="D23" s="37"/>
      <c r="E23" s="37"/>
      <c r="F23" s="37"/>
      <c r="G23" s="37"/>
      <c r="H23" s="37"/>
      <c r="I23" s="37"/>
      <c r="J23" s="37"/>
      <c r="M23" s="30">
        <v>1</v>
      </c>
      <c r="N23" s="47" t="s">
        <v>36</v>
      </c>
      <c r="O23" s="48">
        <v>58</v>
      </c>
      <c r="P23" s="48">
        <v>52</v>
      </c>
      <c r="Q23" s="48">
        <v>0</v>
      </c>
      <c r="R23" s="56">
        <v>66</v>
      </c>
      <c r="S23" s="56">
        <v>14</v>
      </c>
      <c r="T23" s="56">
        <v>8</v>
      </c>
      <c r="U23" s="56">
        <v>44</v>
      </c>
      <c r="V23" s="55"/>
    </row>
    <row r="24" spans="1:22">
      <c r="A24" s="37"/>
      <c r="B24" s="37"/>
      <c r="C24" s="37"/>
      <c r="D24" s="37"/>
      <c r="E24" s="37"/>
      <c r="F24" s="37"/>
      <c r="G24" s="37"/>
      <c r="H24" s="37"/>
      <c r="I24" s="37"/>
      <c r="J24" s="37"/>
      <c r="N24" s="47" t="s">
        <v>112</v>
      </c>
      <c r="O24" s="48">
        <v>25.4222616365915</v>
      </c>
      <c r="P24" s="48">
        <v>12.6562182781955</v>
      </c>
      <c r="Q24" s="48">
        <v>26.6147617949996</v>
      </c>
      <c r="R24" s="56">
        <v>63.5353469729445</v>
      </c>
      <c r="S24" s="54"/>
      <c r="T24" s="54"/>
      <c r="U24" s="54"/>
      <c r="V24" s="58"/>
    </row>
    <row r="25" spans="1:22">
      <c r="A25" s="37"/>
      <c r="B25" s="37"/>
      <c r="C25" s="37"/>
      <c r="D25" s="37"/>
      <c r="E25" s="37"/>
      <c r="F25" s="37"/>
      <c r="G25" s="37"/>
      <c r="H25" s="37"/>
      <c r="I25" s="37"/>
      <c r="J25" s="37"/>
      <c r="M25" s="30">
        <v>1</v>
      </c>
      <c r="N25" s="47" t="s">
        <v>45</v>
      </c>
      <c r="O25" s="48">
        <v>29</v>
      </c>
      <c r="P25" s="48">
        <v>11</v>
      </c>
      <c r="Q25" s="48">
        <v>23</v>
      </c>
      <c r="R25" s="56">
        <v>63</v>
      </c>
      <c r="S25" s="54"/>
      <c r="T25" s="54"/>
      <c r="U25" s="54"/>
      <c r="V25" s="55"/>
    </row>
    <row r="26" spans="1:22">
      <c r="A26" s="37"/>
      <c r="B26" s="37"/>
      <c r="C26" s="37"/>
      <c r="D26" s="37"/>
      <c r="E26" s="37"/>
      <c r="F26" s="37"/>
      <c r="G26" s="37"/>
      <c r="H26" s="37"/>
      <c r="I26" s="37"/>
      <c r="J26" s="37"/>
      <c r="M26" s="30">
        <v>1</v>
      </c>
      <c r="N26" s="47" t="s">
        <v>48</v>
      </c>
      <c r="O26" s="48">
        <v>23.5714285714286</v>
      </c>
      <c r="P26" s="48">
        <v>10.7142857142857</v>
      </c>
      <c r="Q26" s="48">
        <v>28.5714285714286</v>
      </c>
      <c r="R26" s="56">
        <v>62.8571428571429</v>
      </c>
      <c r="S26" s="54"/>
      <c r="T26" s="54"/>
      <c r="U26" s="54"/>
      <c r="V26" s="55"/>
    </row>
    <row r="27" spans="1:22">
      <c r="A27" s="37"/>
      <c r="B27" s="37"/>
      <c r="C27" s="37"/>
      <c r="D27" s="37"/>
      <c r="E27" s="37"/>
      <c r="F27" s="37"/>
      <c r="G27" s="37"/>
      <c r="H27" s="37"/>
      <c r="I27" s="37"/>
      <c r="J27" s="37"/>
      <c r="M27" s="30">
        <v>1</v>
      </c>
      <c r="N27" s="47" t="s">
        <v>35</v>
      </c>
      <c r="O27" s="48">
        <v>34.7</v>
      </c>
      <c r="P27" s="48">
        <v>15</v>
      </c>
      <c r="Q27" s="48">
        <v>13</v>
      </c>
      <c r="R27" s="56">
        <v>62.7</v>
      </c>
      <c r="S27" s="54"/>
      <c r="T27" s="54"/>
      <c r="U27" s="54"/>
      <c r="V27" s="55"/>
    </row>
    <row r="28" spans="1:22">
      <c r="A28" s="37"/>
      <c r="B28" s="37"/>
      <c r="C28" s="37"/>
      <c r="D28" s="37"/>
      <c r="E28" s="37"/>
      <c r="F28" s="37"/>
      <c r="G28" s="37"/>
      <c r="H28" s="37"/>
      <c r="I28" s="37"/>
      <c r="J28" s="37"/>
      <c r="M28" s="30">
        <v>1</v>
      </c>
      <c r="N28" s="47" t="s">
        <v>20</v>
      </c>
      <c r="O28" s="48">
        <v>21</v>
      </c>
      <c r="P28" s="48">
        <v>5</v>
      </c>
      <c r="Q28" s="48">
        <v>30</v>
      </c>
      <c r="R28" s="56">
        <v>56</v>
      </c>
      <c r="S28" s="54"/>
      <c r="T28" s="54"/>
      <c r="U28" s="54"/>
      <c r="V28" s="55"/>
    </row>
    <row r="29" spans="1:22">
      <c r="A29" s="38" t="s">
        <v>113</v>
      </c>
      <c r="M29" s="30">
        <v>1</v>
      </c>
      <c r="N29" s="47" t="s">
        <v>19</v>
      </c>
      <c r="O29" s="48">
        <v>32.3333333333333</v>
      </c>
      <c r="P29" s="48">
        <v>21.333</v>
      </c>
      <c r="Q29" s="48">
        <v>0</v>
      </c>
      <c r="R29" s="56">
        <v>53.6663333333333</v>
      </c>
      <c r="S29" s="54"/>
      <c r="T29" s="54"/>
      <c r="U29" s="54"/>
      <c r="V29" s="55"/>
    </row>
    <row r="30" spans="13:22">
      <c r="M30" s="30">
        <v>1</v>
      </c>
      <c r="N30" s="47" t="s">
        <v>46</v>
      </c>
      <c r="O30" s="48">
        <v>23.2857142857143</v>
      </c>
      <c r="P30" s="48">
        <v>22.2857142857143</v>
      </c>
      <c r="Q30" s="48">
        <v>6.8542857142857</v>
      </c>
      <c r="R30" s="56">
        <v>52.4257142857143</v>
      </c>
      <c r="S30" s="54"/>
      <c r="T30" s="54"/>
      <c r="U30" s="54"/>
      <c r="V30" s="55"/>
    </row>
    <row r="31" spans="13:22">
      <c r="M31" s="30">
        <v>1</v>
      </c>
      <c r="N31" s="47" t="s">
        <v>25</v>
      </c>
      <c r="O31" s="48">
        <v>15</v>
      </c>
      <c r="P31" s="48">
        <v>11</v>
      </c>
      <c r="Q31" s="48">
        <v>26</v>
      </c>
      <c r="R31" s="56">
        <v>52</v>
      </c>
      <c r="S31" s="54"/>
      <c r="T31" s="54"/>
      <c r="U31" s="54"/>
      <c r="V31" s="55"/>
    </row>
    <row r="32" spans="13:22">
      <c r="M32" s="30">
        <v>1</v>
      </c>
      <c r="N32" s="47" t="s">
        <v>32</v>
      </c>
      <c r="O32" s="48">
        <v>26</v>
      </c>
      <c r="P32" s="48">
        <v>20</v>
      </c>
      <c r="Q32" s="48">
        <v>6</v>
      </c>
      <c r="R32" s="56">
        <v>52</v>
      </c>
      <c r="S32" s="54"/>
      <c r="T32" s="54"/>
      <c r="U32" s="54"/>
      <c r="V32" s="55"/>
    </row>
    <row r="33" spans="13:22">
      <c r="M33" s="30">
        <v>1</v>
      </c>
      <c r="N33" s="47" t="s">
        <v>33</v>
      </c>
      <c r="O33" s="48">
        <v>33</v>
      </c>
      <c r="P33" s="48">
        <v>9</v>
      </c>
      <c r="Q33" s="48">
        <v>0</v>
      </c>
      <c r="R33" s="56">
        <v>42</v>
      </c>
      <c r="S33" s="54"/>
      <c r="T33" s="54"/>
      <c r="U33" s="54"/>
      <c r="V33" s="55"/>
    </row>
    <row r="34" spans="13:22">
      <c r="M34" s="30">
        <v>1</v>
      </c>
      <c r="N34" s="47" t="s">
        <v>53</v>
      </c>
      <c r="O34" s="48">
        <v>39</v>
      </c>
      <c r="P34" s="48">
        <v>2</v>
      </c>
      <c r="Q34" s="48">
        <v>0</v>
      </c>
      <c r="R34" s="56">
        <v>41</v>
      </c>
      <c r="S34" s="54"/>
      <c r="T34" s="54"/>
      <c r="U34" s="54"/>
      <c r="V34" s="55"/>
    </row>
    <row r="35" spans="13:22">
      <c r="M35" s="30">
        <v>1</v>
      </c>
      <c r="N35" s="47" t="s">
        <v>42</v>
      </c>
      <c r="O35" s="48">
        <v>25</v>
      </c>
      <c r="P35" s="48">
        <v>15</v>
      </c>
      <c r="Q35" s="48">
        <v>0</v>
      </c>
      <c r="R35" s="56">
        <v>40</v>
      </c>
      <c r="S35" s="54"/>
      <c r="T35" s="54"/>
      <c r="U35" s="54"/>
      <c r="V35" s="55"/>
    </row>
    <row r="36" spans="13:22">
      <c r="M36" s="30">
        <v>1</v>
      </c>
      <c r="N36" s="47" t="s">
        <v>49</v>
      </c>
      <c r="O36" s="48">
        <v>16</v>
      </c>
      <c r="P36" s="48">
        <v>16</v>
      </c>
      <c r="Q36" s="48">
        <v>0</v>
      </c>
      <c r="R36" s="56">
        <v>32</v>
      </c>
      <c r="S36" s="54"/>
      <c r="T36" s="54"/>
      <c r="U36" s="54"/>
      <c r="V36" s="55"/>
    </row>
    <row r="37" spans="13:22">
      <c r="M37" s="30">
        <v>1</v>
      </c>
      <c r="N37" s="47" t="s">
        <v>21</v>
      </c>
      <c r="O37" s="48">
        <v>30</v>
      </c>
      <c r="P37" s="48">
        <v>1</v>
      </c>
      <c r="Q37" s="48">
        <v>0</v>
      </c>
      <c r="R37" s="56">
        <v>31</v>
      </c>
      <c r="S37" s="54"/>
      <c r="T37" s="54"/>
      <c r="U37" s="54"/>
      <c r="V37" s="55"/>
    </row>
    <row r="38" spans="13:22">
      <c r="M38" s="30">
        <v>1</v>
      </c>
      <c r="N38" s="47" t="s">
        <v>43</v>
      </c>
      <c r="O38" s="48">
        <v>26</v>
      </c>
      <c r="P38" s="48">
        <v>0</v>
      </c>
      <c r="Q38" s="48">
        <v>0</v>
      </c>
      <c r="R38" s="56">
        <v>26</v>
      </c>
      <c r="S38" s="54"/>
      <c r="T38" s="54"/>
      <c r="U38" s="54"/>
      <c r="V38" s="55"/>
    </row>
    <row r="39" spans="13:22">
      <c r="M39" s="30">
        <v>1</v>
      </c>
      <c r="N39" s="47" t="s">
        <v>22</v>
      </c>
      <c r="O39" s="48">
        <v>18</v>
      </c>
      <c r="P39" s="48">
        <v>2.8</v>
      </c>
      <c r="Q39" s="48">
        <v>0</v>
      </c>
      <c r="R39" s="56">
        <v>20.8</v>
      </c>
      <c r="S39" s="54"/>
      <c r="T39" s="54"/>
      <c r="U39" s="54"/>
      <c r="V39" s="55"/>
    </row>
    <row r="40" spans="13:22">
      <c r="M40" s="30">
        <v>1</v>
      </c>
      <c r="N40" s="47" t="s">
        <v>17</v>
      </c>
      <c r="O40" s="48">
        <v>2</v>
      </c>
      <c r="P40" s="48">
        <v>2</v>
      </c>
      <c r="Q40" s="48">
        <v>16</v>
      </c>
      <c r="R40" s="56">
        <v>20</v>
      </c>
      <c r="S40" s="54"/>
      <c r="T40" s="54"/>
      <c r="U40" s="54"/>
      <c r="V40" s="55"/>
    </row>
    <row r="41" spans="13:22">
      <c r="M41" s="30">
        <v>1</v>
      </c>
      <c r="N41" s="47" t="s">
        <v>23</v>
      </c>
      <c r="O41" s="48">
        <v>17.32</v>
      </c>
      <c r="P41" s="48">
        <v>1.6</v>
      </c>
      <c r="Q41" s="48">
        <v>0</v>
      </c>
      <c r="R41" s="56">
        <v>18.92</v>
      </c>
      <c r="S41" s="54"/>
      <c r="T41" s="54"/>
      <c r="U41" s="54"/>
      <c r="V41" s="55"/>
    </row>
    <row r="42" spans="13:22">
      <c r="M42" s="30">
        <v>1</v>
      </c>
      <c r="N42" s="47" t="s">
        <v>52</v>
      </c>
      <c r="O42" s="48">
        <v>16</v>
      </c>
      <c r="P42" s="48">
        <v>1</v>
      </c>
      <c r="Q42" s="48">
        <v>0</v>
      </c>
      <c r="R42" s="56">
        <v>17</v>
      </c>
      <c r="S42" s="54"/>
      <c r="T42" s="54"/>
      <c r="U42" s="54"/>
      <c r="V42" s="55"/>
    </row>
    <row r="43" spans="13:22">
      <c r="M43" s="30">
        <v>1</v>
      </c>
      <c r="N43" s="47" t="s">
        <v>51</v>
      </c>
      <c r="O43" s="48">
        <v>14</v>
      </c>
      <c r="P43" s="48">
        <v>2</v>
      </c>
      <c r="Q43" s="48">
        <v>0</v>
      </c>
      <c r="R43" s="56">
        <v>16</v>
      </c>
      <c r="S43" s="54"/>
      <c r="T43" s="54"/>
      <c r="U43" s="54"/>
      <c r="V43" s="55"/>
    </row>
    <row r="44" spans="13:22">
      <c r="M44" s="30">
        <v>1</v>
      </c>
      <c r="N44" s="47" t="s">
        <v>34</v>
      </c>
      <c r="O44" s="48">
        <v>15</v>
      </c>
      <c r="P44" s="48">
        <v>0</v>
      </c>
      <c r="Q44" s="48">
        <v>0</v>
      </c>
      <c r="R44" s="56">
        <v>15</v>
      </c>
      <c r="S44" s="54"/>
      <c r="T44" s="54"/>
      <c r="U44" s="54"/>
      <c r="V44" s="55"/>
    </row>
    <row r="45" spans="13:22">
      <c r="M45" s="30">
        <v>1</v>
      </c>
      <c r="N45" s="47" t="s">
        <v>41</v>
      </c>
      <c r="O45" s="48">
        <v>12</v>
      </c>
      <c r="P45" s="48">
        <v>1</v>
      </c>
      <c r="Q45" s="48">
        <v>0</v>
      </c>
      <c r="R45" s="56">
        <v>13</v>
      </c>
      <c r="S45" s="54"/>
      <c r="T45" s="54"/>
      <c r="U45" s="54"/>
      <c r="V45" s="55"/>
    </row>
    <row r="46" spans="13:22">
      <c r="M46" s="30">
        <v>1</v>
      </c>
      <c r="N46" s="47" t="s">
        <v>54</v>
      </c>
      <c r="O46" s="48">
        <v>0</v>
      </c>
      <c r="P46" s="48">
        <v>0</v>
      </c>
      <c r="Q46" s="48">
        <v>0</v>
      </c>
      <c r="R46" s="56">
        <v>0</v>
      </c>
      <c r="S46" s="54"/>
      <c r="T46" s="54"/>
      <c r="U46" s="54"/>
      <c r="V46" s="55"/>
    </row>
    <row r="47" spans="22:22">
      <c r="V47" s="55"/>
    </row>
    <row r="48" spans="22:22">
      <c r="V48" s="55"/>
    </row>
    <row r="49" spans="18:22">
      <c r="R49" s="54"/>
      <c r="S49" s="54"/>
      <c r="T49" s="54"/>
      <c r="U49" s="54"/>
      <c r="V49" s="55"/>
    </row>
    <row r="50" spans="19:22">
      <c r="S50" s="54"/>
      <c r="T50" s="54"/>
      <c r="U50" s="54"/>
      <c r="V50" s="55"/>
    </row>
    <row r="51" spans="18:22">
      <c r="R51" s="54"/>
      <c r="S51" s="54"/>
      <c r="T51" s="54"/>
      <c r="U51" s="54"/>
      <c r="V51" s="55"/>
    </row>
  </sheetData>
  <sortState ref="M8:U46">
    <sortCondition ref="R8:R46" descending="1"/>
  </sortState>
  <mergeCells count="7">
    <mergeCell ref="O4:P4"/>
    <mergeCell ref="O5:O7"/>
    <mergeCell ref="P5:P7"/>
    <mergeCell ref="Q5:Q7"/>
    <mergeCell ref="A1:J2"/>
    <mergeCell ref="A3:J4"/>
    <mergeCell ref="A22:J28"/>
  </mergeCells>
  <pageMargins left="0.7" right="0.7" top="0.75" bottom="0.75" header="0.3" footer="0.3"/>
  <pageSetup paperSize="9" orientation="portrait"/>
  <headerFooter>
    <oddFooter>&amp;C
&amp;1#&amp;"Arial Narrow"&amp;10&amp;K0000FF Unclassified - Non classifié</oddFooter>
  </headerFooter>
  <customProperties>
    <customPr name="Notes" r:id="rId2"/>
    <customPr name="PrintArea" r:id="rId3"/>
    <customPr name="Source" r:id="rId4"/>
    <customPr name="SubTitle" r:id="rId5"/>
    <customPr name="Title" r:id="rId6"/>
  </customPropertie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59"/>
  <sheetViews>
    <sheetView showGridLines="0" workbookViewId="0">
      <selection activeCell="A1" sqref="A1:I2"/>
    </sheetView>
  </sheetViews>
  <sheetFormatPr defaultColWidth="9.17699115044248" defaultRowHeight="12.75"/>
  <cols>
    <col min="1" max="1" width="9.17699115044248" style="1" customWidth="1"/>
    <col min="2" max="10" width="9.17699115044248" style="1"/>
    <col min="11" max="11" width="9.17699115044248" style="2"/>
    <col min="12" max="12" width="11.6371681415929" style="2" customWidth="1"/>
    <col min="13" max="13" width="9.17699115044248" style="2" customWidth="1"/>
    <col min="14" max="14" width="9.17699115044248" style="2"/>
    <col min="15" max="16384" width="9.17699115044248" style="1"/>
  </cols>
  <sheetData>
    <row r="1" spans="1:14">
      <c r="A1" s="3" t="s">
        <v>114</v>
      </c>
      <c r="B1" s="3"/>
      <c r="C1" s="3"/>
      <c r="D1" s="3"/>
      <c r="E1" s="3"/>
      <c r="F1" s="3"/>
      <c r="G1" s="3"/>
      <c r="H1" s="3"/>
      <c r="I1" s="3"/>
      <c r="J1" s="10"/>
      <c r="K1" s="11"/>
      <c r="L1" s="4"/>
      <c r="M1" s="4"/>
      <c r="N1" s="12"/>
    </row>
    <row r="2" spans="1:14">
      <c r="A2" s="3"/>
      <c r="B2" s="3"/>
      <c r="C2" s="3"/>
      <c r="D2" s="3"/>
      <c r="E2" s="3"/>
      <c r="F2" s="3"/>
      <c r="G2" s="3"/>
      <c r="H2" s="3"/>
      <c r="I2" s="3"/>
      <c r="J2" s="10"/>
      <c r="K2" s="11"/>
      <c r="L2" s="4"/>
      <c r="M2" s="4"/>
      <c r="N2" s="12"/>
    </row>
    <row r="3" spans="1:14">
      <c r="A3" s="4" t="s">
        <v>115</v>
      </c>
      <c r="B3" s="4"/>
      <c r="C3" s="4"/>
      <c r="D3" s="4"/>
      <c r="E3" s="4"/>
      <c r="F3" s="4"/>
      <c r="G3" s="4"/>
      <c r="H3" s="4"/>
      <c r="I3" s="4"/>
      <c r="J3" s="6"/>
      <c r="K3" s="11"/>
      <c r="L3" s="13"/>
      <c r="M3" s="13"/>
      <c r="N3" s="12"/>
    </row>
    <row r="4" spans="1:14">
      <c r="A4" s="4"/>
      <c r="B4" s="4"/>
      <c r="C4" s="4"/>
      <c r="D4" s="4"/>
      <c r="E4" s="4"/>
      <c r="F4" s="4"/>
      <c r="G4" s="4"/>
      <c r="H4" s="4"/>
      <c r="I4" s="4"/>
      <c r="J4" s="6"/>
      <c r="K4" s="11"/>
      <c r="L4" s="13"/>
      <c r="M4" s="13"/>
      <c r="N4" s="12"/>
    </row>
    <row r="5" customHeight="1" spans="1:14">
      <c r="A5" s="5"/>
      <c r="B5" s="5"/>
      <c r="C5" s="5"/>
      <c r="D5" s="5"/>
      <c r="E5" s="5"/>
      <c r="F5" s="5"/>
      <c r="G5" s="5"/>
      <c r="H5" s="5"/>
      <c r="I5" s="5"/>
      <c r="J5" s="6"/>
      <c r="K5" s="11"/>
      <c r="L5" s="4"/>
      <c r="M5" s="4"/>
      <c r="N5" s="12"/>
    </row>
    <row r="6" spans="1:14">
      <c r="A6" s="6"/>
      <c r="B6" s="6"/>
      <c r="C6" s="6"/>
      <c r="D6" s="6"/>
      <c r="E6" s="6"/>
      <c r="F6" s="6"/>
      <c r="G6" s="6"/>
      <c r="H6" s="6"/>
      <c r="I6" s="6"/>
      <c r="J6" s="6"/>
      <c r="K6" s="11"/>
      <c r="L6" s="14"/>
      <c r="M6" s="15">
        <v>2021</v>
      </c>
      <c r="N6" s="16"/>
    </row>
    <row r="7" spans="1:14">
      <c r="A7" s="6"/>
      <c r="B7" s="6"/>
      <c r="C7" s="6"/>
      <c r="D7" s="6"/>
      <c r="E7" s="6"/>
      <c r="F7" s="6"/>
      <c r="G7" s="6"/>
      <c r="H7" s="6"/>
      <c r="I7" s="6"/>
      <c r="J7" s="6"/>
      <c r="K7" s="11"/>
      <c r="L7" s="17" t="s">
        <v>40</v>
      </c>
      <c r="M7" s="18">
        <v>82347.3956261</v>
      </c>
      <c r="N7" s="16"/>
    </row>
    <row r="8" spans="1:14">
      <c r="A8" s="7"/>
      <c r="B8" s="7"/>
      <c r="C8" s="7"/>
      <c r="D8" s="7"/>
      <c r="E8" s="7"/>
      <c r="F8" s="7"/>
      <c r="G8" s="7"/>
      <c r="H8" s="7"/>
      <c r="I8" s="7"/>
      <c r="J8" s="7"/>
      <c r="K8" s="9"/>
      <c r="L8" s="17" t="s">
        <v>26</v>
      </c>
      <c r="M8" s="18">
        <v>49816.2333249803</v>
      </c>
      <c r="N8" s="19"/>
    </row>
    <row r="9" spans="1:14">
      <c r="A9" s="7"/>
      <c r="B9" s="7"/>
      <c r="C9" s="7"/>
      <c r="D9" s="7"/>
      <c r="E9" s="7"/>
      <c r="F9" s="7"/>
      <c r="G9" s="7"/>
      <c r="H9" s="7"/>
      <c r="I9" s="7"/>
      <c r="J9" s="7"/>
      <c r="K9" s="9"/>
      <c r="L9" s="17" t="s">
        <v>44</v>
      </c>
      <c r="M9" s="18">
        <v>49028.8999934051</v>
      </c>
      <c r="N9" s="19"/>
    </row>
    <row r="10" spans="1:14">
      <c r="A10" s="7"/>
      <c r="B10" s="7"/>
      <c r="C10" s="7"/>
      <c r="D10" s="7"/>
      <c r="E10" s="7"/>
      <c r="F10" s="7"/>
      <c r="G10" s="7"/>
      <c r="H10" s="7"/>
      <c r="I10" s="7"/>
      <c r="J10" s="7"/>
      <c r="K10" s="9"/>
      <c r="L10" s="17" t="s">
        <v>39</v>
      </c>
      <c r="M10" s="18">
        <v>35990.5311148346</v>
      </c>
      <c r="N10" s="19"/>
    </row>
    <row r="11" spans="1:14">
      <c r="A11" s="7"/>
      <c r="B11" s="7"/>
      <c r="C11" s="7"/>
      <c r="D11" s="7"/>
      <c r="E11" s="7"/>
      <c r="F11" s="7"/>
      <c r="G11" s="7"/>
      <c r="H11" s="7"/>
      <c r="I11" s="7"/>
      <c r="J11" s="7"/>
      <c r="K11" s="9"/>
      <c r="L11" s="17" t="s">
        <v>47</v>
      </c>
      <c r="M11" s="18">
        <v>35003.3980927208</v>
      </c>
      <c r="N11" s="19"/>
    </row>
    <row r="12" spans="1:14">
      <c r="A12" s="7"/>
      <c r="B12" s="7"/>
      <c r="C12" s="7"/>
      <c r="D12" s="7"/>
      <c r="E12" s="7"/>
      <c r="F12" s="7"/>
      <c r="G12" s="7"/>
      <c r="H12" s="7"/>
      <c r="I12" s="7"/>
      <c r="J12" s="7"/>
      <c r="K12" s="9"/>
      <c r="L12" s="17" t="s">
        <v>50</v>
      </c>
      <c r="M12" s="18">
        <v>34936.8180945102</v>
      </c>
      <c r="N12" s="19"/>
    </row>
    <row r="13" spans="1:14">
      <c r="A13" s="7"/>
      <c r="B13" s="7"/>
      <c r="C13" s="7"/>
      <c r="D13" s="7"/>
      <c r="E13" s="7"/>
      <c r="F13" s="7"/>
      <c r="G13" s="7"/>
      <c r="H13" s="7"/>
      <c r="I13" s="7"/>
      <c r="J13" s="7"/>
      <c r="K13" s="9"/>
      <c r="L13" s="17" t="s">
        <v>24</v>
      </c>
      <c r="M13" s="18">
        <v>33581.6870437553</v>
      </c>
      <c r="N13" s="19"/>
    </row>
    <row r="14" spans="1:14">
      <c r="A14" s="7"/>
      <c r="B14" s="7"/>
      <c r="C14" s="7"/>
      <c r="D14" s="7"/>
      <c r="E14" s="7"/>
      <c r="F14" s="7"/>
      <c r="G14" s="7"/>
      <c r="H14" s="7"/>
      <c r="I14" s="7"/>
      <c r="J14" s="7"/>
      <c r="K14" s="9"/>
      <c r="L14" s="17" t="s">
        <v>27</v>
      </c>
      <c r="M14" s="18">
        <v>32384.1476480552</v>
      </c>
      <c r="N14" s="19"/>
    </row>
    <row r="15" spans="1:14">
      <c r="A15" s="7"/>
      <c r="B15" s="7"/>
      <c r="C15" s="7"/>
      <c r="D15" s="7"/>
      <c r="E15" s="7"/>
      <c r="F15" s="7"/>
      <c r="G15" s="7"/>
      <c r="H15" s="7"/>
      <c r="I15" s="7"/>
      <c r="J15" s="7"/>
      <c r="K15" s="9"/>
      <c r="L15" s="17" t="s">
        <v>48</v>
      </c>
      <c r="M15" s="18">
        <v>31430.9570501789</v>
      </c>
      <c r="N15" s="19"/>
    </row>
    <row r="16" spans="1:14">
      <c r="A16" s="7"/>
      <c r="B16" s="7"/>
      <c r="C16" s="7"/>
      <c r="D16" s="7"/>
      <c r="E16" s="7"/>
      <c r="F16" s="7"/>
      <c r="G16" s="7"/>
      <c r="H16" s="7"/>
      <c r="I16" s="7"/>
      <c r="J16" s="7"/>
      <c r="K16" s="9"/>
      <c r="L16" s="17" t="s">
        <v>25</v>
      </c>
      <c r="M16" s="18">
        <v>30193.2018363553</v>
      </c>
      <c r="N16" s="19"/>
    </row>
    <row r="17" spans="1:14">
      <c r="A17" s="7"/>
      <c r="B17" s="7"/>
      <c r="C17" s="7"/>
      <c r="D17" s="7"/>
      <c r="E17" s="7"/>
      <c r="F17" s="7"/>
      <c r="G17" s="7"/>
      <c r="H17" s="7"/>
      <c r="I17" s="7"/>
      <c r="J17" s="7"/>
      <c r="K17" s="9"/>
      <c r="L17" s="17" t="s">
        <v>31</v>
      </c>
      <c r="M17" s="18">
        <v>30081.6305172549</v>
      </c>
      <c r="N17" s="19"/>
    </row>
    <row r="18" spans="1:14">
      <c r="A18" s="7"/>
      <c r="B18" s="7"/>
      <c r="C18" s="7"/>
      <c r="D18" s="7"/>
      <c r="E18" s="7"/>
      <c r="F18" s="7"/>
      <c r="G18" s="7"/>
      <c r="H18" s="7"/>
      <c r="I18" s="7"/>
      <c r="J18" s="7"/>
      <c r="K18" s="9"/>
      <c r="L18" s="17" t="s">
        <v>38</v>
      </c>
      <c r="M18" s="18">
        <v>29562.3589611624</v>
      </c>
      <c r="N18" s="19"/>
    </row>
    <row r="19" spans="1:14">
      <c r="A19" s="7"/>
      <c r="B19" s="7"/>
      <c r="C19" s="7"/>
      <c r="D19" s="7"/>
      <c r="E19" s="7"/>
      <c r="F19" s="7"/>
      <c r="G19" s="7"/>
      <c r="H19" s="7"/>
      <c r="I19" s="7"/>
      <c r="J19" s="7"/>
      <c r="K19" s="9"/>
      <c r="L19" s="17" t="s">
        <v>32</v>
      </c>
      <c r="M19" s="18">
        <v>29028.0924240752</v>
      </c>
      <c r="N19" s="19"/>
    </row>
    <row r="20" spans="1:14">
      <c r="A20" s="7"/>
      <c r="B20" s="7"/>
      <c r="C20" s="7"/>
      <c r="D20" s="7"/>
      <c r="E20" s="7"/>
      <c r="F20" s="7"/>
      <c r="G20" s="7"/>
      <c r="H20" s="7"/>
      <c r="I20" s="7"/>
      <c r="J20" s="7"/>
      <c r="K20" s="9"/>
      <c r="L20" s="17" t="s">
        <v>45</v>
      </c>
      <c r="M20" s="18">
        <v>20938.258028068</v>
      </c>
      <c r="N20" s="19"/>
    </row>
    <row r="21" customHeight="1" spans="1:14">
      <c r="A21" s="8"/>
      <c r="B21" s="8"/>
      <c r="C21" s="8"/>
      <c r="D21" s="8"/>
      <c r="E21" s="8"/>
      <c r="F21" s="8"/>
      <c r="G21" s="8"/>
      <c r="H21" s="8"/>
      <c r="I21" s="8"/>
      <c r="J21" s="7"/>
      <c r="K21" s="9"/>
      <c r="L21" s="20" t="s">
        <v>116</v>
      </c>
      <c r="M21" s="21">
        <v>20834.0378437216</v>
      </c>
      <c r="N21" s="19"/>
    </row>
    <row r="22" spans="1:14">
      <c r="A22" s="8"/>
      <c r="B22" s="8"/>
      <c r="C22" s="8"/>
      <c r="D22" s="8"/>
      <c r="E22" s="8"/>
      <c r="F22" s="8"/>
      <c r="G22" s="8"/>
      <c r="H22" s="8"/>
      <c r="I22" s="8"/>
      <c r="J22" s="6"/>
      <c r="K22" s="11"/>
      <c r="L22" s="17" t="s">
        <v>49</v>
      </c>
      <c r="M22" s="18">
        <v>18260.1053650961</v>
      </c>
      <c r="N22" s="19"/>
    </row>
    <row r="23" customHeight="1" spans="1:14">
      <c r="A23" s="4" t="s">
        <v>117</v>
      </c>
      <c r="B23" s="4"/>
      <c r="C23" s="4"/>
      <c r="D23" s="4"/>
      <c r="E23" s="4"/>
      <c r="F23" s="4"/>
      <c r="G23" s="4"/>
      <c r="H23" s="4"/>
      <c r="I23" s="4"/>
      <c r="J23" s="7"/>
      <c r="K23" s="9"/>
      <c r="L23" s="17" t="s">
        <v>46</v>
      </c>
      <c r="M23" s="18">
        <v>18030.1566425313</v>
      </c>
      <c r="N23" s="19"/>
    </row>
    <row r="24" customHeight="1" spans="1:14">
      <c r="A24" s="4"/>
      <c r="B24" s="4"/>
      <c r="C24" s="4"/>
      <c r="D24" s="4"/>
      <c r="E24" s="4"/>
      <c r="F24" s="4"/>
      <c r="G24" s="4"/>
      <c r="H24" s="4"/>
      <c r="I24" s="4"/>
      <c r="J24" s="22"/>
      <c r="K24" s="9"/>
      <c r="L24" s="17" t="s">
        <v>20</v>
      </c>
      <c r="M24" s="18">
        <v>16357.7494767809</v>
      </c>
      <c r="N24" s="19"/>
    </row>
    <row r="25" customHeight="1" spans="1:14">
      <c r="A25" s="7"/>
      <c r="B25" s="7"/>
      <c r="C25" s="7"/>
      <c r="D25" s="7"/>
      <c r="E25" s="7"/>
      <c r="F25" s="7"/>
      <c r="G25" s="7"/>
      <c r="H25" s="7"/>
      <c r="I25" s="7"/>
      <c r="J25" s="22"/>
      <c r="K25" s="9"/>
      <c r="L25" s="17" t="s">
        <v>29</v>
      </c>
      <c r="M25" s="18">
        <v>16070.3584500641</v>
      </c>
      <c r="N25" s="19"/>
    </row>
    <row r="26" customHeight="1" spans="1:14">
      <c r="A26" s="7"/>
      <c r="B26" s="7"/>
      <c r="C26" s="7"/>
      <c r="D26" s="7"/>
      <c r="E26" s="7"/>
      <c r="F26" s="7"/>
      <c r="G26" s="7"/>
      <c r="H26" s="7"/>
      <c r="I26" s="7"/>
      <c r="J26" s="22"/>
      <c r="K26" s="9"/>
      <c r="L26" s="17" t="s">
        <v>35</v>
      </c>
      <c r="M26" s="18">
        <v>15070.6185399589</v>
      </c>
      <c r="N26" s="19"/>
    </row>
    <row r="27" customHeight="1" spans="1:14">
      <c r="A27" s="7"/>
      <c r="B27" s="7"/>
      <c r="C27" s="7"/>
      <c r="D27" s="7"/>
      <c r="E27" s="7"/>
      <c r="F27" s="7"/>
      <c r="G27" s="7"/>
      <c r="H27" s="7"/>
      <c r="I27" s="7"/>
      <c r="J27" s="7"/>
      <c r="K27" s="9"/>
      <c r="L27" s="17" t="s">
        <v>19</v>
      </c>
      <c r="M27" s="18">
        <v>13867.4832721677</v>
      </c>
      <c r="N27" s="19"/>
    </row>
    <row r="28" spans="1:14">
      <c r="A28" s="7"/>
      <c r="B28" s="7"/>
      <c r="C28" s="7"/>
      <c r="D28" s="7"/>
      <c r="E28" s="7"/>
      <c r="F28" s="7"/>
      <c r="G28" s="7"/>
      <c r="H28" s="7"/>
      <c r="I28" s="7"/>
      <c r="J28" s="7"/>
      <c r="K28" s="9"/>
      <c r="L28" s="17" t="s">
        <v>51</v>
      </c>
      <c r="M28" s="18">
        <v>13690.7899001754</v>
      </c>
      <c r="N28" s="19"/>
    </row>
    <row r="29" spans="1:14">
      <c r="A29" s="7"/>
      <c r="B29" s="7"/>
      <c r="C29" s="7"/>
      <c r="D29" s="7"/>
      <c r="E29" s="7"/>
      <c r="F29" s="7"/>
      <c r="G29" s="7"/>
      <c r="H29" s="7"/>
      <c r="I29" s="7"/>
      <c r="J29" s="7"/>
      <c r="K29" s="9"/>
      <c r="L29" s="17" t="s">
        <v>36</v>
      </c>
      <c r="M29" s="18">
        <v>11672.6034105167</v>
      </c>
      <c r="N29" s="19"/>
    </row>
    <row r="30" spans="1:14">
      <c r="A30" s="7"/>
      <c r="B30" s="7"/>
      <c r="C30" s="7"/>
      <c r="D30" s="7"/>
      <c r="E30" s="7"/>
      <c r="F30" s="7"/>
      <c r="G30" s="7"/>
      <c r="H30" s="7"/>
      <c r="I30" s="7"/>
      <c r="J30" s="7"/>
      <c r="K30" s="9"/>
      <c r="L30" s="17" t="s">
        <v>30</v>
      </c>
      <c r="M30" s="18">
        <v>10963.9735428548</v>
      </c>
      <c r="N30" s="19"/>
    </row>
    <row r="31" spans="1:14">
      <c r="A31" s="7"/>
      <c r="B31" s="7"/>
      <c r="C31" s="7"/>
      <c r="D31" s="7"/>
      <c r="E31" s="7"/>
      <c r="F31" s="7"/>
      <c r="G31" s="7"/>
      <c r="H31" s="7"/>
      <c r="I31" s="7"/>
      <c r="J31" s="7"/>
      <c r="K31" s="9"/>
      <c r="L31" s="17" t="s">
        <v>28</v>
      </c>
      <c r="M31" s="18">
        <v>9947.99444141252</v>
      </c>
      <c r="N31" s="19"/>
    </row>
    <row r="32" spans="1:14">
      <c r="A32" s="7"/>
      <c r="B32" s="7"/>
      <c r="C32" s="7"/>
      <c r="D32" s="7"/>
      <c r="E32" s="7"/>
      <c r="F32" s="7"/>
      <c r="G32" s="7"/>
      <c r="H32" s="7"/>
      <c r="I32" s="7"/>
      <c r="J32" s="7"/>
      <c r="K32" s="9"/>
      <c r="L32" s="17" t="s">
        <v>18</v>
      </c>
      <c r="M32" s="18">
        <v>9762.64098969668</v>
      </c>
      <c r="N32" s="19"/>
    </row>
    <row r="33" spans="1:14">
      <c r="A33" s="7"/>
      <c r="B33" s="7"/>
      <c r="C33" s="7"/>
      <c r="D33" s="7"/>
      <c r="E33" s="7"/>
      <c r="F33" s="7"/>
      <c r="G33" s="7"/>
      <c r="H33" s="7"/>
      <c r="I33" s="7"/>
      <c r="J33" s="7"/>
      <c r="K33" s="9"/>
      <c r="L33" s="17" t="s">
        <v>34</v>
      </c>
      <c r="M33" s="18">
        <v>7768.53271213632</v>
      </c>
      <c r="N33" s="19"/>
    </row>
    <row r="34" spans="1:14">
      <c r="A34" s="7"/>
      <c r="B34" s="7"/>
      <c r="C34" s="7"/>
      <c r="D34" s="7"/>
      <c r="E34" s="7"/>
      <c r="F34" s="7"/>
      <c r="G34" s="7"/>
      <c r="H34" s="7"/>
      <c r="I34" s="7"/>
      <c r="J34" s="7"/>
      <c r="K34" s="9"/>
      <c r="L34" s="17" t="s">
        <v>37</v>
      </c>
      <c r="M34" s="18">
        <v>7384.98060679404</v>
      </c>
      <c r="N34" s="19"/>
    </row>
    <row r="35" spans="1:14">
      <c r="A35" s="7"/>
      <c r="B35" s="7"/>
      <c r="C35" s="7"/>
      <c r="D35" s="7"/>
      <c r="E35" s="7"/>
      <c r="F35" s="7"/>
      <c r="G35" s="7"/>
      <c r="H35" s="7"/>
      <c r="I35" s="7"/>
      <c r="J35" s="7"/>
      <c r="K35" s="9"/>
      <c r="L35" s="17" t="s">
        <v>43</v>
      </c>
      <c r="M35" s="18">
        <v>7036.6527506202</v>
      </c>
      <c r="N35" s="19"/>
    </row>
    <row r="36" spans="1:14">
      <c r="A36" s="7"/>
      <c r="B36" s="7"/>
      <c r="C36" s="7"/>
      <c r="D36" s="7"/>
      <c r="E36" s="7"/>
      <c r="F36" s="7"/>
      <c r="G36" s="7"/>
      <c r="H36" s="7"/>
      <c r="I36" s="7"/>
      <c r="J36" s="7"/>
      <c r="K36" s="9"/>
      <c r="L36" s="17" t="s">
        <v>33</v>
      </c>
      <c r="M36" s="18">
        <v>6962.44735137954</v>
      </c>
      <c r="N36" s="19"/>
    </row>
    <row r="37" spans="1:14">
      <c r="A37" s="7"/>
      <c r="B37" s="7"/>
      <c r="C37" s="7"/>
      <c r="D37" s="7"/>
      <c r="E37" s="7"/>
      <c r="F37" s="7"/>
      <c r="G37" s="7"/>
      <c r="H37" s="7"/>
      <c r="I37" s="7"/>
      <c r="J37" s="7"/>
      <c r="K37" s="9"/>
      <c r="L37" s="17" t="s">
        <v>53</v>
      </c>
      <c r="M37" s="18">
        <v>6446.17300760982</v>
      </c>
      <c r="N37" s="19"/>
    </row>
    <row r="38" spans="1:14">
      <c r="A38" s="7"/>
      <c r="B38" s="7"/>
      <c r="C38" s="7"/>
      <c r="D38" s="7"/>
      <c r="E38" s="7"/>
      <c r="F38" s="7"/>
      <c r="G38" s="7"/>
      <c r="H38" s="7"/>
      <c r="I38" s="7"/>
      <c r="J38" s="7"/>
      <c r="K38" s="9"/>
      <c r="L38" s="17" t="s">
        <v>21</v>
      </c>
      <c r="M38" s="18">
        <v>6326.42222259255</v>
      </c>
      <c r="N38" s="19"/>
    </row>
    <row r="39" spans="1:14">
      <c r="A39" s="7"/>
      <c r="B39" s="7"/>
      <c r="C39" s="7"/>
      <c r="D39" s="7"/>
      <c r="E39" s="7"/>
      <c r="F39" s="7"/>
      <c r="G39" s="7"/>
      <c r="H39" s="7"/>
      <c r="I39" s="7"/>
      <c r="J39" s="7"/>
      <c r="K39" s="9"/>
      <c r="L39" s="17" t="s">
        <v>17</v>
      </c>
      <c r="M39" s="18">
        <v>6138.29023832799</v>
      </c>
      <c r="N39" s="19"/>
    </row>
    <row r="40" spans="1:14">
      <c r="A40" s="7"/>
      <c r="B40" s="7"/>
      <c r="C40" s="7"/>
      <c r="D40" s="7"/>
      <c r="E40" s="7"/>
      <c r="F40" s="7"/>
      <c r="G40" s="7"/>
      <c r="H40" s="7"/>
      <c r="I40" s="7"/>
      <c r="J40" s="7"/>
      <c r="K40" s="9"/>
      <c r="L40" s="17" t="s">
        <v>42</v>
      </c>
      <c r="M40" s="18">
        <v>1547.18281967339</v>
      </c>
      <c r="N40" s="19"/>
    </row>
    <row r="41" spans="1:14">
      <c r="A41" s="7"/>
      <c r="B41" s="7"/>
      <c r="C41" s="7"/>
      <c r="D41" s="7"/>
      <c r="E41" s="7"/>
      <c r="F41" s="7"/>
      <c r="G41" s="7"/>
      <c r="H41" s="7"/>
      <c r="I41" s="7"/>
      <c r="J41" s="7"/>
      <c r="K41" s="9"/>
      <c r="L41" s="17" t="s">
        <v>22</v>
      </c>
      <c r="M41" s="18">
        <v>1007.69334783221</v>
      </c>
      <c r="N41" s="19"/>
    </row>
    <row r="42" spans="1:14">
      <c r="A42" s="9"/>
      <c r="B42" s="9"/>
      <c r="C42" s="9"/>
      <c r="D42" s="9"/>
      <c r="E42" s="9"/>
      <c r="F42" s="9"/>
      <c r="G42" s="9"/>
      <c r="H42" s="9"/>
      <c r="I42" s="9"/>
      <c r="J42" s="7"/>
      <c r="K42" s="23"/>
      <c r="L42" s="17" t="s">
        <v>52</v>
      </c>
      <c r="M42" s="18">
        <v>554.8656865794</v>
      </c>
      <c r="N42" s="19"/>
    </row>
    <row r="43" customHeight="1" spans="1:15">
      <c r="A43" s="7"/>
      <c r="B43" s="7"/>
      <c r="C43" s="7"/>
      <c r="D43" s="7"/>
      <c r="E43" s="7"/>
      <c r="F43" s="7"/>
      <c r="G43" s="7"/>
      <c r="H43" s="7"/>
      <c r="I43" s="7"/>
      <c r="J43" s="7"/>
      <c r="K43" s="9"/>
      <c r="L43" s="24"/>
      <c r="M43" s="25"/>
      <c r="N43" s="26"/>
      <c r="O43" s="27"/>
    </row>
    <row r="44" spans="1:15">
      <c r="A44" s="7"/>
      <c r="B44" s="7"/>
      <c r="C44" s="7"/>
      <c r="D44" s="7"/>
      <c r="E44" s="7"/>
      <c r="F44" s="7"/>
      <c r="G44" s="7"/>
      <c r="H44" s="7"/>
      <c r="I44" s="7"/>
      <c r="J44" s="7"/>
      <c r="K44" s="9"/>
      <c r="L44" s="28"/>
      <c r="M44" s="28"/>
      <c r="N44" s="26"/>
      <c r="O44" s="27"/>
    </row>
    <row r="45" spans="14:14">
      <c r="N45" s="19"/>
    </row>
    <row r="46" spans="14:14">
      <c r="N46" s="19"/>
    </row>
    <row r="47" spans="14:14">
      <c r="N47" s="19"/>
    </row>
    <row r="48" spans="14:14">
      <c r="N48" s="19"/>
    </row>
    <row r="49" spans="14:14">
      <c r="N49" s="19"/>
    </row>
    <row r="50" customHeight="1" spans="10:14">
      <c r="J50" s="2"/>
      <c r="N50" s="19"/>
    </row>
    <row r="51" customHeight="1" spans="14:14">
      <c r="N51" s="19"/>
    </row>
    <row r="52" customHeight="1" spans="14:14">
      <c r="N52" s="19"/>
    </row>
    <row r="53" customHeight="1" spans="14:14">
      <c r="N53" s="19"/>
    </row>
    <row r="54" customHeight="1" spans="14:14">
      <c r="N54" s="19"/>
    </row>
    <row r="55" customHeight="1" spans="14:14">
      <c r="N55" s="19"/>
    </row>
    <row r="56" spans="14:15">
      <c r="N56" s="29"/>
      <c r="O56" s="29"/>
    </row>
    <row r="57" spans="14:14">
      <c r="N57" s="19"/>
    </row>
    <row r="58" spans="14:14">
      <c r="N58" s="19"/>
    </row>
    <row r="59" spans="14:14">
      <c r="N59" s="19"/>
    </row>
  </sheetData>
  <mergeCells count="3">
    <mergeCell ref="A1:I2"/>
    <mergeCell ref="A3:I4"/>
    <mergeCell ref="A23:I24"/>
  </mergeCells>
  <pageMargins left="0.708661417322835" right="0.708661417322835" top="0.748031496062992" bottom="0.748031496062992" header="0.31496062992126" footer="0.31496062992126"/>
  <pageSetup paperSize="9" orientation="portrait"/>
  <headerFooter>
    <oddHeader>&amp;LOECD Family Database (http://www.oecd.org/els/family/database.htm)</oddHeader>
    <oddFooter>&amp;C
&amp;1#&amp;"Arial Narrow"&amp;10&amp;K0000FF Unclassified - Non classifié</oddFooter>
  </headerFooter>
  <customProperties>
    <customPr name="Notes" r:id="rId2"/>
    <customPr name="PrintArea" r:id="rId3"/>
    <customPr name="Source" r:id="rId4"/>
    <customPr name="SubTitle" r:id="rId5"/>
    <customPr name="Title" r:id="rId6"/>
  </customPropertie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88A3BB8-176E-4E3E-87DE-2E69D58BFE57}">
  <ds:schemaRefs/>
</ds:datastoreItem>
</file>

<file path=customXml/itemProps2.xml><?xml version="1.0" encoding="utf-8"?>
<ds:datastoreItem xmlns:ds="http://schemas.openxmlformats.org/officeDocument/2006/customXml" ds:itemID="{1A5D1F6F-FA95-41C0-8CC0-4797CFCA3AB9}">
  <ds:schemaRefs/>
</ds:datastoreItem>
</file>

<file path=customXml/itemProps3.xml><?xml version="1.0" encoding="utf-8"?>
<ds:datastoreItem xmlns:ds="http://schemas.openxmlformats.org/officeDocument/2006/customXml" ds:itemID="{4641E19D-DA11-4EFA-B03E-D75F76D7AA1C}">
  <ds:schemaRefs/>
</ds:datastoreItem>
</file>

<file path=customXml/itemProps4.xml><?xml version="1.0" encoding="utf-8"?>
<ds:datastoreItem xmlns:ds="http://schemas.openxmlformats.org/officeDocument/2006/customXml" ds:itemID="{E39AB1B6-0B44-4935-9FC3-B6C42F18728A}">
  <ds:schemaRefs/>
</ds:datastoreItem>
</file>

<file path=customXml/itemProps5.xml><?xml version="1.0" encoding="utf-8"?>
<ds:datastoreItem xmlns:ds="http://schemas.openxmlformats.org/officeDocument/2006/customXml" ds:itemID="{02971C83-346A-4E43-BDA5-665DA3E3A927}">
  <ds:schemaRefs/>
</ds:datastoreItem>
</file>

<file path=customXml/itemProps6.xml><?xml version="1.0" encoding="utf-8"?>
<ds:datastoreItem xmlns:ds="http://schemas.openxmlformats.org/officeDocument/2006/customXml" ds:itemID="{1C720A18-9B21-445E-8617-4CB3586C803F}">
  <ds:schemaRefs/>
</ds:datastoreItem>
</file>

<file path=docProps/app.xml><?xml version="1.0" encoding="utf-8"?>
<Properties xmlns="http://schemas.openxmlformats.org/officeDocument/2006/extended-properties" xmlns:vt="http://schemas.openxmlformats.org/officeDocument/2006/docPropsVTypes">
  <Company>INED</Company>
  <Application>Microsoft Excel</Application>
  <HeadingPairs>
    <vt:vector size="2" baseType="variant">
      <vt:variant>
        <vt:lpstr>工作表</vt:lpstr>
      </vt:variant>
      <vt:variant>
        <vt:i4>7</vt:i4>
      </vt:variant>
    </vt:vector>
  </HeadingPairs>
  <TitlesOfParts>
    <vt:vector size="7" baseType="lpstr">
      <vt:lpstr>Table PF2.1.A</vt:lpstr>
      <vt:lpstr>Table PF2.1.B</vt:lpstr>
      <vt:lpstr>Chart PF2.1.A</vt:lpstr>
      <vt:lpstr>Chart PF2.1.B</vt:lpstr>
      <vt:lpstr>Chart PF2.1.C</vt:lpstr>
      <vt:lpstr>Chart PF2.1.D</vt:lpstr>
      <vt:lpstr>Chart PF2.1.E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PF7 Parental leave web 29072009.xls</dc:title>
  <dc:creator>INED</dc:creator>
  <cp:lastModifiedBy>WPS_1752029613</cp:lastModifiedBy>
  <dcterms:created xsi:type="dcterms:W3CDTF">2009-01-20T16:06:00Z</dcterms:created>
  <cp:lastPrinted>2025-08-04T09:16:00Z</cp:lastPrinted>
  <dcterms:modified xsi:type="dcterms:W3CDTF">2025-11-01T10:27:02Z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country">
    <vt:lpwstr/>
  </property>
  <property fmtid="{D5CDD505-2E9C-101B-9397-08002B2CF9AE}" pid="4" name="xd_Signature">
    <vt:lpwstr/>
  </property>
  <property fmtid="{D5CDD505-2E9C-101B-9397-08002B2CF9AE}" pid="5" name="display_urn:schemas-microsoft-com:office:office#Editor">
    <vt:lpwstr>HERZOG Heike-Daniela, ELS/SPD</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y fmtid="{D5CDD505-2E9C-101B-9397-08002B2CF9AE}" pid="9" name="OECDCountry">
    <vt:lpwstr/>
  </property>
  <property fmtid="{D5CDD505-2E9C-101B-9397-08002B2CF9AE}" pid="10" name="OECDTopic">
    <vt:lpwstr/>
  </property>
  <property fmtid="{D5CDD505-2E9C-101B-9397-08002B2CF9AE}" pid="11" name="OECDCommittee">
    <vt:lpwstr/>
  </property>
  <property fmtid="{D5CDD505-2E9C-101B-9397-08002B2CF9AE}" pid="12" name="OECDPWB">
    <vt:lpwstr>6;#(n/a)|3adabb5f-45b7-4a20-bdde-219e8d9477af</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49;#ELS/SPD|0e85e649-01ae-435c-b5a2-39c5f49851ef</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BookId">
    <vt:lpwstr>101ddc52-1168-49e7-b1ef-a7a99428bac6</vt:lpwstr>
  </property>
  <property fmtid="{D5CDD505-2E9C-101B-9397-08002B2CF9AE}" pid="20" name="MSIP_Label_0b2d0c28-e13a-4801-bbf0-29bdaa81743b_Enabled">
    <vt:lpwstr>true</vt:lpwstr>
  </property>
  <property fmtid="{D5CDD505-2E9C-101B-9397-08002B2CF9AE}" pid="21" name="MSIP_Label_0b2d0c28-e13a-4801-bbf0-29bdaa81743b_SetDate">
    <vt:lpwstr>2024-12-19T16:04:56Z</vt:lpwstr>
  </property>
  <property fmtid="{D5CDD505-2E9C-101B-9397-08002B2CF9AE}" pid="22" name="MSIP_Label_0b2d0c28-e13a-4801-bbf0-29bdaa81743b_Method">
    <vt:lpwstr>Privileged</vt:lpwstr>
  </property>
  <property fmtid="{D5CDD505-2E9C-101B-9397-08002B2CF9AE}" pid="23" name="MSIP_Label_0b2d0c28-e13a-4801-bbf0-29bdaa81743b_Name">
    <vt:lpwstr>Unclassified</vt:lpwstr>
  </property>
  <property fmtid="{D5CDD505-2E9C-101B-9397-08002B2CF9AE}" pid="24" name="MSIP_Label_0b2d0c28-e13a-4801-bbf0-29bdaa81743b_SiteId">
    <vt:lpwstr>ac41c7d4-1f61-460d-b0f4-fc925a2b471c</vt:lpwstr>
  </property>
  <property fmtid="{D5CDD505-2E9C-101B-9397-08002B2CF9AE}" pid="25" name="MSIP_Label_0b2d0c28-e13a-4801-bbf0-29bdaa81743b_ActionId">
    <vt:lpwstr>89a338ec-9a95-4c2b-b9e0-a8e201f17e12</vt:lpwstr>
  </property>
  <property fmtid="{D5CDD505-2E9C-101B-9397-08002B2CF9AE}" pid="26" name="MSIP_Label_0b2d0c28-e13a-4801-bbf0-29bdaa81743b_ContentBits">
    <vt:lpwstr>2</vt:lpwstr>
  </property>
  <property fmtid="{D5CDD505-2E9C-101B-9397-08002B2CF9AE}" pid="27" name="ICV">
    <vt:lpwstr>92C0876E80BB40439D2E4B0C9A83F051_12</vt:lpwstr>
  </property>
  <property fmtid="{D5CDD505-2E9C-101B-9397-08002B2CF9AE}" pid="28" name="KSOProductBuildVer">
    <vt:lpwstr>3076-12.2.0.22549</vt:lpwstr>
  </property>
</Properties>
</file>